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3f5b6359eb44ff" /></Relationships>
</file>

<file path=xl/workbook.xml><?xml version="1.0" encoding="utf-8"?>
<x:workbook xmlns:x="http://schemas.openxmlformats.org/spreadsheetml/2006/main">
  <x:sheets>
    <x:sheet xmlns:r="http://schemas.openxmlformats.org/officeDocument/2006/relationships" name="Cost status" sheetId="1" r:id="Rcec643132eb14fa1"/>
    <x:sheet xmlns:r="http://schemas.openxmlformats.org/officeDocument/2006/relationships" name="Priced items" sheetId="2" r:id="R8b1dfff170c04bc4"/>
    <x:sheet xmlns:r="http://schemas.openxmlformats.org/officeDocument/2006/relationships" name="Required unpriced" sheetId="3" r:id="Re26e7ada21354cb2"/>
    <x:sheet xmlns:r="http://schemas.openxmlformats.org/officeDocument/2006/relationships" name="Options not adopted" sheetId="4" r:id="Rbde482c468f046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00"/>
    <x:numFmt numFmtId="203" formatCode="0.000"/>
  </x:numFmts>
  <x:fonts count="7">
    <x:font>
      <x:sz val="11"/>
      <x:name val="Carlito"/>
    </x:font>
    <x:font>
      <x:sz val="11"/>
      <x:name val="Aptos"/>
    </x:font>
    <x:font>
      <x:sz val="11"/>
      <x:color rgb="FFFFFFFF"/>
      <x:name val="Aptos"/>
    </x:font>
    <x:font>
      <x:sz val="21"/>
      <x:color rgb="FFFFFFFF"/>
      <x:name val="Aptos"/>
    </x:font>
    <x:font>
      <x:sz val="11"/>
      <x:color rgb="FF205A9C"/>
      <x:name val="Aptos"/>
    </x:font>
    <x:font>
      <x:b/>
      <x:sz val="11"/>
      <x:name val="Aptos"/>
    </x:font>
    <x:font>
      <x:b/>
      <x:sz val="21"/>
      <x:name val="Aptos"/>
    </x:font>
  </x:fonts>
  <x:fills count="5">
    <x:fill>
      <x:patternFill patternType="none"/>
    </x:fill>
    <x:fill>
      <x:patternFill patternType="gray125"/>
    </x:fill>
    <x:fill>
      <x:patternFill patternType="solid">
        <x:fgColor rgb="FF173A43"/>
      </x:patternFill>
    </x:fill>
    <x:fill>
      <x:patternFill patternType="solid">
        <x:fgColor rgb="FFFFF0D0"/>
      </x:patternFill>
    </x:fill>
    <x:fill>
      <x:patternFill patternType="solid">
        <x:fgColor rgb="FFE5F0ED"/>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200" fontId="6"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d9fa37a341468f" /><Relationship Type="http://schemas.openxmlformats.org/officeDocument/2006/relationships/theme" Target="/xl/theme/theme1.xml" Id="Rad8a0ac964c040fd" /><Relationship Type="http://schemas.openxmlformats.org/officeDocument/2006/relationships/sharedStrings" Target="/xl/sharedStrings.xml" Id="R3e81f68b805840b7" /><Relationship Type="http://schemas.openxmlformats.org/officeDocument/2006/relationships/worksheet" Target="/xl/worksheets/sheet1.xml" Id="Rcec643132eb14fa1" /><Relationship Type="http://schemas.openxmlformats.org/officeDocument/2006/relationships/worksheet" Target="/xl/worksheets/sheet2.xml" Id="R8b1dfff170c04bc4" /><Relationship Type="http://schemas.openxmlformats.org/officeDocument/2006/relationships/worksheet" Target="/xl/worksheets/sheet3.xml" Id="Re26e7ada21354cb2" /><Relationship Type="http://schemas.openxmlformats.org/officeDocument/2006/relationships/worksheet" Target="/xl/worksheets/sheet4.xml" Id="Rbde482c468f04627" /></Relationships>
</file>

<file path=xl/tables/table1.xml><?xml version="1.0" encoding="utf-8"?>
<x:table xmlns:x="http://schemas.openxmlformats.org/spreadsheetml/2006/main" id="1" name="PricedOffers" displayName="PricedOffers" ref="A6:J89" headerRowCount="1" totalsRowCount="0" totalsRowShown="0">
  <x:tableColumns count="10">
    <x:tableColumn id="1" name="ID"/>
    <x:tableColumn id="2" name="Category"/>
    <x:tableColumn id="3" name="Exact item / stock"/>
    <x:tableColumn id="4" name="Buy qty"/>
    <x:tableColumn id="5" name="Unit"/>
    <x:tableColumn id="6" name="Unit USD"/>
    <x:tableColumn id="7" name="Goods USD"/>
    <x:tableColumn id="8" name="Vendor"/>
    <x:tableColumn id="9" name="Source"/>
    <x:tableColumn id="10" name="Fit / availability / scope"/>
  </x:tableColumns>
  <x:tableStyleInfo name="TableStyleMedium2" showFirstColumn="0" showLastColumn="0" showRowStripes="1" showColumnStripes="0"/>
</x:table>
</file>

<file path=xl/tables/table2.xml><?xml version="1.0" encoding="utf-8"?>
<x:table xmlns:x="http://schemas.openxmlformats.org/spreadsheetml/2006/main" id="2" name="UnpricedScope" displayName="UnpricedScope" ref="A4:E47" headerRowCount="1" totalsRowCount="0" totalsRowShown="0">
  <x:tableColumns count="5">
    <x:tableColumn id="1" name="ID"/>
    <x:tableColumn id="2" name="Required item / residual scope"/>
    <x:tableColumn id="3" name="Quantity"/>
    <x:tableColumn id="4" name="Work or quote needed"/>
    <x:tableColumn id="5" name="Source / specification"/>
  </x:tableColumns>
  <x:tableStyleInfo name="TableStyleMedium2" showFirstColumn="0" showLastColumn="0" showRowStripes="1" showColumnStripes="0"/>
</x:table>
</file>

<file path=xl/tables/table3.xml><?xml version="1.0" encoding="utf-8"?>
<x:table xmlns:x="http://schemas.openxmlformats.org/spreadsheetml/2006/main" id="3" name="UnadoptedOptions" displayName="UnadoptedOptions" ref="A4:H30" headerRowCount="1" totalsRowCount="0" totalsRowShown="0">
  <x:tableColumns count="8">
    <x:tableColumn id="1" name="ID"/>
    <x:tableColumn id="2" name="Candidate"/>
    <x:tableColumn id="3" name="Buy qty"/>
    <x:tableColumn id="4" name="Unit price"/>
    <x:tableColumn id="5" name="Currency"/>
    <x:tableColumn id="6" name="Goods total"/>
    <x:tableColumn id="7" name="Source"/>
    <x:tableColumn id="8" name="Reason / remaining design wor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214ef2508c43f0" /></Relationships>
</file>

<file path=xl/worksheets/_rels/sheet3.xml.rels>&#65279;<?xml version="1.0" encoding="utf-8"?><Relationships xmlns="http://schemas.openxmlformats.org/package/2006/relationships"><Relationship Type="http://schemas.openxmlformats.org/officeDocument/2006/relationships/table" Target="/xl/tables/table2.xml" Id="R5587d6a8694748a7" /></Relationships>
</file>

<file path=xl/worksheets/_rels/sheet4.xml.rels>&#65279;<?xml version="1.0" encoding="utf-8"?><Relationships xmlns="http://schemas.openxmlformats.org/package/2006/relationships"><Relationship Type="http://schemas.openxmlformats.org/officeDocument/2006/relationships/table" Target="/xl/tables/table3.xml" Id="R2fc806f3caf54d2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380000114440918" hidden="0" customWidth="1"/>
    <x:col min="2" max="2" width="14.380000114440918" hidden="0" customWidth="1"/>
    <x:col min="3" max="3" width="14.380000114440918" hidden="0" customWidth="1"/>
    <x:col min="4" max="4" width="14.380000114440918" hidden="0" customWidth="1"/>
    <x:col min="5" max="5" width="14.380000114440918" hidden="0" customWidth="1"/>
    <x:col min="6" max="6" width="14.380000114440918" hidden="0" customWidth="1"/>
    <x:col min="7" max="7" width="14.380000114440918" hidden="0" customWidth="1"/>
    <x:col min="8" max="8" width="14.380000114440918" hidden="0" customWidth="1"/>
  </x:cols>
  <x:sheetData>
    <x:row r="1" ht="40" customHeight="1">
      <x:c r="A1" s="15" t="str">
        <x:v>CNC + plasma | Actual price audit</x:v>
      </x:c>
      <x:c r="B1" s="7"/>
      <x:c r="C1" s="7"/>
      <x:c r="D1" s="7"/>
      <x:c r="E1" s="7"/>
      <x:c r="F1" s="7"/>
      <x:c r="G1" s="7"/>
      <x:c r="H1" s="7"/>
      <x:c r="I1" s="2"/>
      <x:c r="J1" s="2"/>
      <x:c r="K1" s="2"/>
    </x:row>
    <x:row r="2" ht="28" customHeight="1">
      <x:c r="A2" s="6" t="str">
        <x:v>800 × 1000 × 100 mm nominal travel • Alto, GA 30510 • USD • 24 September 2026</x:v>
      </x:c>
      <x:c r="B2" s="6"/>
      <x:c r="C2" s="6"/>
      <x:c r="D2" s="6"/>
      <x:c r="E2" s="6"/>
      <x:c r="F2" s="6"/>
      <x:c r="G2" s="6"/>
      <x:c r="H2" s="6"/>
      <x:c r="I2" s="2"/>
      <x:c r="J2" s="2"/>
      <x:c r="K2" s="2"/>
    </x:row>
    <x:row r="3" ht="26" customHeight="1">
      <x:c r="A3" s="6"/>
      <x:c r="B3" s="6"/>
      <x:c r="C3" s="6"/>
      <x:c r="D3" s="6"/>
      <x:c r="E3" s="6"/>
      <x:c r="F3" s="6"/>
      <x:c r="G3" s="6"/>
      <x:c r="H3" s="6"/>
      <x:c r="I3" s="2"/>
      <x:c r="J3" s="2"/>
      <x:c r="K3" s="2"/>
    </x:row>
    <x:row r="4" ht="44" customHeight="1">
      <x:c r="A4" s="17" t="str">
        <x:v>COMPLETE BUILD, DELIVERED</x:v>
      </x:c>
      <x:c r="B4" s="17"/>
      <x:c r="C4" s="17"/>
      <x:c r="D4" s="17"/>
      <x:c r="E4" s="17"/>
      <x:c r="F4" s="17" t="str">
        <x:v>NOT ESTABLISHED</x:v>
      </x:c>
      <x:c r="G4" s="17"/>
      <x:c r="H4" s="17"/>
      <x:c r="I4" s="2"/>
      <x:c r="J4" s="2"/>
      <x:c r="K4" s="2"/>
    </x:row>
    <x:row r="5" ht="26" customHeight="1">
      <x:c r="A5" s="6"/>
      <x:c r="B5" s="6"/>
      <x:c r="C5" s="6"/>
      <x:c r="D5" s="6"/>
      <x:c r="E5" s="6"/>
      <x:c r="F5" s="6"/>
      <x:c r="G5" s="6"/>
      <x:c r="H5" s="6"/>
      <x:c r="I5" s="2"/>
      <x:c r="J5" s="2"/>
      <x:c r="K5" s="2"/>
    </x:row>
    <x:row r="6" ht="26" customHeight="1">
      <x:c r="A6" s="6" t="str">
        <x:v>Priced goods subtotal</x:v>
      </x:c>
      <x:c r="B6" s="6"/>
      <x:c r="C6" s="6"/>
      <x:c r="D6" s="6"/>
      <x:c r="E6" s="6"/>
      <x:c r="F6" s="8" t="n">
        <x:f>SUM('Priced items'!G7:G89)</x:f>
        <x:v>5734.939999999997</x:v>
      </x:c>
      <x:c r="G6" s="8"/>
      <x:c r="H6" s="8"/>
      <x:c r="I6" s="2"/>
      <x:c r="J6" s="2"/>
      <x:c r="K6" s="2"/>
    </x:row>
    <x:row r="7" ht="26" customHeight="1">
      <x:c r="A7" s="6" t="str">
        <x:v>Known or advertised shipping</x:v>
      </x:c>
      <x:c r="B7" s="6"/>
      <x:c r="C7" s="6"/>
      <x:c r="D7" s="6"/>
      <x:c r="E7" s="6"/>
      <x:c r="F7" s="8" t="n">
        <x:f>SUM(C35:C57)</x:f>
        <x:v>75.3</x:v>
      </x:c>
      <x:c r="G7" s="8"/>
      <x:c r="H7" s="8"/>
      <x:c r="I7" s="2"/>
      <x:c r="J7" s="2"/>
      <x:c r="K7" s="2"/>
    </x:row>
    <x:row r="8" ht="38" customHeight="1">
      <x:c r="A8" s="19" t="str">
        <x:v>PRICED SCOPE ONLY — BEFORE TAX</x:v>
      </x:c>
      <x:c r="B8" s="19"/>
      <x:c r="C8" s="19"/>
      <x:c r="D8" s="19"/>
      <x:c r="E8" s="19"/>
      <x:c r="F8" s="21" t="n">
        <x:f>F6+F7</x:f>
        <x:v>5810.239999999997</x:v>
      </x:c>
      <x:c r="G8" s="22"/>
      <x:c r="H8" s="22"/>
      <x:c r="I8" s="2"/>
      <x:c r="J8" s="2"/>
      <x:c r="K8" s="2"/>
    </x:row>
    <x:row r="9" ht="26" customHeight="1">
      <x:c r="A9" s="6"/>
      <x:c r="B9" s="6"/>
      <x:c r="C9" s="6"/>
      <x:c r="D9" s="6"/>
      <x:c r="E9" s="6"/>
      <x:c r="F9" s="6"/>
      <x:c r="G9" s="6"/>
      <x:c r="H9" s="6"/>
      <x:c r="I9" s="2"/>
      <x:c r="J9" s="2"/>
      <x:c r="K9" s="2"/>
    </x:row>
    <x:row r="10" ht="26" customHeight="1">
      <x:c r="A10" s="6" t="str">
        <x:v>This is a partial price register, not the whole-machine cost. 43 remaining scope entries and 17 vendor delivery groups are unpriced. Those blanks are not included as $0. Your fabrication labor is $0; no outside shop fees or arbitrary shipping reserve are added.</x:v>
      </x:c>
      <x:c r="B10" s="6"/>
      <x:c r="C10" s="6"/>
      <x:c r="D10" s="6"/>
      <x:c r="E10" s="6"/>
      <x:c r="F10" s="6"/>
      <x:c r="G10" s="6"/>
      <x:c r="H10" s="6"/>
      <x:c r="I10" s="2"/>
      <x:c r="J10" s="2"/>
      <x:c r="K10" s="2"/>
    </x:row>
    <x:row r="11" ht="26" customHeight="1">
      <x:c r="A11" s="6"/>
      <x:c r="B11" s="6"/>
      <x:c r="C11" s="6"/>
      <x:c r="D11" s="6"/>
      <x:c r="E11" s="6"/>
      <x:c r="F11" s="6"/>
      <x:c r="G11" s="6"/>
      <x:c r="H11" s="6"/>
      <x:c r="I11" s="2"/>
      <x:c r="J11" s="2"/>
      <x:c r="K11" s="2"/>
    </x:row>
    <x:row r="12" ht="26" customHeight="1">
      <x:c r="A12" s="6"/>
      <x:c r="B12" s="6"/>
      <x:c r="C12" s="6"/>
      <x:c r="D12" s="6"/>
      <x:c r="E12" s="6"/>
      <x:c r="F12" s="6"/>
      <x:c r="G12" s="6"/>
      <x:c r="H12" s="6"/>
      <x:c r="I12" s="2"/>
      <x:c r="J12" s="2"/>
      <x:c r="K12" s="2"/>
    </x:row>
    <x:row r="13" ht="26" customHeight="1">
      <x:c r="A13" s="6"/>
      <x:c r="B13" s="6"/>
      <x:c r="C13" s="6"/>
      <x:c r="D13" s="6"/>
      <x:c r="E13" s="6"/>
      <x:c r="F13" s="6"/>
      <x:c r="G13" s="6"/>
      <x:c r="H13" s="6"/>
      <x:c r="I13" s="2"/>
      <x:c r="J13" s="2"/>
      <x:c r="K13" s="2"/>
    </x:row>
    <x:row r="14" ht="26" customHeight="1">
      <x:c r="A14" s="6" t="str">
        <x:v>Amazon goods with advertised free delivery</x:v>
      </x:c>
      <x:c r="B14" s="6"/>
      <x:c r="C14" s="6"/>
      <x:c r="D14" s="6"/>
      <x:c r="E14" s="6"/>
      <x:c r="F14" s="8" t="n">
        <x:f>SUMIF('Priced items'!H7:H89,"Amazon",'Priced items'!G7:G89)</x:f>
        <x:v>2204.9899999999993</x:v>
      </x:c>
      <x:c r="G14" s="8"/>
      <x:c r="H14" s="8"/>
      <x:c r="I14" s="2"/>
      <x:c r="J14" s="2"/>
      <x:c r="K14" s="2"/>
    </x:row>
    <x:row r="15" ht="26" customHeight="1">
      <x:c r="A15" s="6"/>
      <x:c r="B15" s="6"/>
      <x:c r="C15" s="6"/>
      <x:c r="D15" s="6"/>
      <x:c r="E15" s="6"/>
      <x:c r="F15" s="6"/>
      <x:c r="G15" s="6"/>
      <x:c r="H15" s="6"/>
      <x:c r="I15" s="2"/>
      <x:c r="J15" s="2"/>
      <x:c r="K15" s="2"/>
    </x:row>
    <x:row r="16" ht="26" customHeight="1">
      <x:c r="A16" s="7" t="str">
        <x:v>Priced portion by category</x:v>
      </x:c>
      <x:c r="B16" s="7"/>
      <x:c r="C16" s="7"/>
      <x:c r="D16" s="7"/>
      <x:c r="E16" s="7"/>
      <x:c r="F16" s="7" t="str">
        <x:v>Goods only</x:v>
      </x:c>
      <x:c r="G16" s="7"/>
      <x:c r="H16" s="7"/>
      <x:c r="I16" s="2"/>
      <x:c r="J16" s="2"/>
      <x:c r="K16" s="2"/>
    </x:row>
    <x:row r="17" ht="26" customHeight="1">
      <x:c r="A17" s="6" t="str">
        <x:v>Motion</x:v>
      </x:c>
      <x:c r="B17" s="6"/>
      <x:c r="C17" s="6"/>
      <x:c r="D17" s="6"/>
      <x:c r="E17" s="6"/>
      <x:c r="F17" s="8" t="n">
        <x:f>SUMIF('Priced items'!B7:B89,A17,'Priced items'!G7:G89)</x:f>
        <x:v>2203.13</x:v>
      </x:c>
      <x:c r="G17" s="8"/>
      <x:c r="H17" s="8"/>
      <x:c r="I17" s="2"/>
      <x:c r="J17" s="2"/>
      <x:c r="K17" s="2"/>
    </x:row>
    <x:row r="18" ht="26" customHeight="1">
      <x:c r="A18" s="6" t="str">
        <x:v>Router bed</x:v>
      </x:c>
      <x:c r="B18" s="6"/>
      <x:c r="C18" s="6"/>
      <x:c r="D18" s="6"/>
      <x:c r="E18" s="6"/>
      <x:c r="F18" s="8" t="n">
        <x:f>SUMIF('Priced items'!B7:B89,A18,'Priced items'!G7:G89)</x:f>
        <x:v>469.23</x:v>
      </x:c>
      <x:c r="G18" s="8"/>
      <x:c r="H18" s="8"/>
      <x:c r="I18" s="2"/>
      <x:c r="J18" s="2"/>
      <x:c r="K18" s="2"/>
    </x:row>
    <x:row r="19" ht="26" customHeight="1">
      <x:c r="A19" s="6" t="str">
        <x:v>Router head</x:v>
      </x:c>
      <x:c r="B19" s="6"/>
      <x:c r="C19" s="6"/>
      <x:c r="D19" s="6"/>
      <x:c r="E19" s="6"/>
      <x:c r="F19" s="8" t="n">
        <x:f>SUMIF('Priced items'!B7:B89,A19,'Priced items'!G7:G89)</x:f>
        <x:v>309.99</x:v>
      </x:c>
      <x:c r="G19" s="8"/>
      <x:c r="H19" s="8"/>
      <x:c r="I19" s="2"/>
      <x:c r="J19" s="2"/>
      <x:c r="K19" s="2"/>
    </x:row>
    <x:row r="20" ht="26" customHeight="1">
      <x:c r="A20" s="6" t="str">
        <x:v>Controls</x:v>
      </x:c>
      <x:c r="B20" s="6"/>
      <x:c r="C20" s="6"/>
      <x:c r="D20" s="6"/>
      <x:c r="E20" s="6"/>
      <x:c r="F20" s="8" t="n">
        <x:f>SUMIF('Priced items'!B7:B89,A20,'Priced items'!G7:G89)</x:f>
        <x:v>460.6700000000001</x:v>
      </x:c>
      <x:c r="G20" s="8"/>
      <x:c r="H20" s="8"/>
      <x:c r="I20" s="2"/>
      <x:c r="J20" s="2"/>
      <x:c r="K20" s="2"/>
    </x:row>
    <x:row r="21" ht="26" customHeight="1">
      <x:c r="A21" s="6" t="str">
        <x:v>Water controls</x:v>
      </x:c>
      <x:c r="B21" s="6"/>
      <x:c r="C21" s="6"/>
      <x:c r="D21" s="6"/>
      <x:c r="E21" s="6"/>
      <x:c r="F21" s="8" t="n">
        <x:f>SUMIF('Priced items'!B7:B89,A21,'Priced items'!G7:G89)</x:f>
        <x:v>424.74000000000007</x:v>
      </x:c>
      <x:c r="G21" s="8"/>
      <x:c r="H21" s="8"/>
      <x:c r="I21" s="2"/>
      <x:c r="J21" s="2"/>
      <x:c r="K21" s="2"/>
    </x:row>
    <x:row r="22" ht="26" customHeight="1">
      <x:c r="A22" s="6" t="str">
        <x:v>Chassis</x:v>
      </x:c>
      <x:c r="B22" s="6"/>
      <x:c r="C22" s="6"/>
      <x:c r="D22" s="6"/>
      <x:c r="E22" s="6"/>
      <x:c r="F22" s="8" t="n">
        <x:f>SUMIF('Priced items'!B7:B89,A22,'Priced items'!G7:G89)</x:f>
        <x:v>1392.71</x:v>
      </x:c>
      <x:c r="G22" s="8"/>
      <x:c r="H22" s="8"/>
      <x:c r="I22" s="2"/>
      <x:c r="J22" s="2"/>
      <x:c r="K22" s="2"/>
    </x:row>
    <x:row r="23" ht="26" customHeight="1">
      <x:c r="A23" s="6" t="str">
        <x:v>Standard hardware</x:v>
      </x:c>
      <x:c r="B23" s="6"/>
      <x:c r="C23" s="6"/>
      <x:c r="D23" s="6"/>
      <x:c r="E23" s="6"/>
      <x:c r="F23" s="8" t="n">
        <x:f>SUMIF('Priced items'!B7:B89,A23,'Priced items'!G7:G89)</x:f>
        <x:v>216.90000000000003</x:v>
      </x:c>
      <x:c r="G23" s="8"/>
      <x:c r="H23" s="8"/>
      <x:c r="I23" s="2"/>
      <x:c r="J23" s="2"/>
      <x:c r="K23" s="2"/>
    </x:row>
    <x:row r="24" ht="26" customHeight="1">
      <x:c r="A24" s="6" t="str">
        <x:v>Controls and water wiring</x:v>
      </x:c>
      <x:c r="B24" s="6"/>
      <x:c r="C24" s="6"/>
      <x:c r="D24" s="6"/>
      <x:c r="E24" s="6"/>
      <x:c r="F24" s="8" t="n">
        <x:f>SUMIF('Priced items'!B7:B89,A24,'Priced items'!G7:G89)</x:f>
        <x:v>257.57</x:v>
      </x:c>
      <x:c r="G24" s="8"/>
      <x:c r="H24" s="8"/>
      <x:c r="I24" s="2"/>
      <x:c r="J24" s="2"/>
      <x:c r="K24" s="2"/>
    </x:row>
    <x:row r="25" ht="26" customHeight="1">
      <x:c r="A25" s="6"/>
      <x:c r="B25" s="6"/>
      <x:c r="C25" s="6"/>
      <x:c r="D25" s="6"/>
      <x:c r="E25" s="6"/>
      <x:c r="F25" s="6"/>
      <x:c r="G25" s="6"/>
      <x:c r="H25" s="6"/>
      <x:c r="I25" s="2"/>
      <x:c r="J25" s="2"/>
      <x:c r="K25" s="2"/>
    </x:row>
    <x:row r="26" ht="26" customHeight="1">
      <x:c r="A26" s="6"/>
      <x:c r="B26" s="6"/>
      <x:c r="C26" s="6"/>
      <x:c r="D26" s="6"/>
      <x:c r="E26" s="6"/>
      <x:c r="F26" s="6"/>
      <x:c r="G26" s="6"/>
      <x:c r="H26" s="6"/>
      <x:c r="I26" s="2"/>
      <x:c r="J26" s="2"/>
      <x:c r="K26" s="2"/>
    </x:row>
    <x:row r="27" ht="26" customHeight="1">
      <x:c r="A27" s="6"/>
      <x:c r="B27" s="6"/>
      <x:c r="C27" s="6"/>
      <x:c r="D27" s="6"/>
      <x:c r="E27" s="6"/>
      <x:c r="F27" s="6"/>
      <x:c r="G27" s="6"/>
      <x:c r="H27" s="6"/>
      <x:c r="I27" s="2"/>
      <x:c r="J27" s="2"/>
      <x:c r="K27" s="2"/>
    </x:row>
    <x:row r="28" ht="26" customHeight="1">
      <x:c r="A28" s="6"/>
      <x:c r="B28" s="6"/>
      <x:c r="C28" s="6"/>
      <x:c r="D28" s="6"/>
      <x:c r="E28" s="6"/>
      <x:c r="F28" s="6"/>
      <x:c r="G28" s="6"/>
      <x:c r="H28" s="6"/>
      <x:c r="I28" s="2"/>
      <x:c r="J28" s="2"/>
      <x:c r="K28" s="2"/>
    </x:row>
    <x:row r="29" ht="29" customHeight="1">
      <x:c r="A29" s="16" t="str">
        <x:v>The old $7,663.82 estimate is superseded. It included $4,200 of allowances and a $300 shipping reserve. The audit also found understated billet stock and missing small-stock purchases. A $200 skin allowance had no separate CAD panels and is removed. No cheaper bracket or rod-end redesign has been credited as completed.</x:v>
      </x:c>
      <x:c r="B29" s="16"/>
      <x:c r="C29" s="16"/>
      <x:c r="D29" s="16"/>
      <x:c r="E29" s="16"/>
      <x:c r="F29" s="16"/>
      <x:c r="G29" s="16"/>
      <x:c r="H29" s="16"/>
      <x:c r="I29" s="2"/>
      <x:c r="J29" s="2"/>
      <x:c r="K29" s="2"/>
    </x:row>
    <x:row r="30" ht="29" customHeight="1">
      <x:c r="A30" s="16"/>
      <x:c r="B30" s="16"/>
      <x:c r="C30" s="16"/>
      <x:c r="D30" s="16"/>
      <x:c r="E30" s="16"/>
      <x:c r="F30" s="16"/>
      <x:c r="G30" s="16"/>
      <x:c r="H30" s="16"/>
      <x:c r="I30" s="2"/>
      <x:c r="J30" s="2"/>
      <x:c r="K30" s="2"/>
    </x:row>
    <x:row r="31" ht="29" customHeight="1">
      <x:c r="A31" s="16"/>
      <x:c r="B31" s="16"/>
      <x:c r="C31" s="16"/>
      <x:c r="D31" s="16"/>
      <x:c r="E31" s="16"/>
      <x:c r="F31" s="16"/>
      <x:c r="G31" s="16"/>
      <x:c r="H31" s="16"/>
      <x:c r="I31" s="2"/>
      <x:c r="J31" s="2"/>
      <x:c r="K31" s="2"/>
    </x:row>
    <x:row r="32" ht="26" customHeight="1">
      <x:c r="A32" s="6"/>
      <x:c r="B32" s="6"/>
      <x:c r="C32" s="6"/>
      <x:c r="D32" s="6"/>
      <x:c r="E32" s="6"/>
      <x:c r="F32" s="6"/>
      <x:c r="G32" s="6"/>
      <x:c r="H32" s="6"/>
      <x:c r="I32" s="2"/>
      <x:c r="J32" s="2"/>
      <x:c r="K32" s="2"/>
    </x:row>
    <x:row r="33" ht="26" customHeight="1">
      <x:c r="A33" s="24" t="str">
        <x:v>Shipping register — one charge per vendor order</x:v>
      </x:c>
      <x:c r="B33" s="6"/>
      <x:c r="C33" s="6"/>
      <x:c r="D33" s="6"/>
      <x:c r="E33" s="6"/>
      <x:c r="F33" s="6"/>
      <x:c r="G33" s="6"/>
      <x:c r="H33" s="6"/>
      <x:c r="I33" s="2"/>
      <x:c r="J33" s="2"/>
      <x:c r="K33" s="2"/>
    </x:row>
    <x:row r="34" ht="26" customHeight="1">
      <x:c r="A34" s="7" t="str">
        <x:v>Vendor</x:v>
      </x:c>
      <x:c r="B34" s="7"/>
      <x:c r="C34" s="7" t="str">
        <x:v>Ship USD</x:v>
      </x:c>
      <x:c r="D34" s="7" t="str">
        <x:v>Tax shown</x:v>
      </x:c>
      <x:c r="E34" s="7" t="str">
        <x:v>Evidence / conditions</x:v>
      </x:c>
      <x:c r="F34" s="7"/>
      <x:c r="G34" s="7"/>
      <x:c r="H34" s="7"/>
      <x:c r="I34" s="2"/>
      <x:c r="J34" s="2"/>
      <x:c r="K34" s="2"/>
    </x:row>
    <x:row r="35" ht="64" customHeight="1">
      <x:c r="A35" s="6" t="str">
        <x:v>Harness Steel / Bonanza</x:v>
      </x:c>
      <x:c r="B35" s="6"/>
      <x:c r="C35" s="8" t="n">
        <x:v>14</x:v>
      </x:c>
      <x:c r="D35" s="8"/>
      <x:c r="E35" s="6" t="str">
        <x:v>Posted goods and US shipping; Alto-specific arrival not confirmed</x:v>
      </x:c>
      <x:c r="F35" s="6"/>
      <x:c r="G35" s="6"/>
      <x:c r="H35" s="6"/>
      <x:c r="I35" s="2"/>
      <x:c r="J35" s="2"/>
      <x:c r="K35" s="2"/>
    </x:row>
    <x:row r="36" ht="82" customHeight="1">
      <x:c r="A36" s="6" t="str">
        <x:v>80/20</x:v>
      </x:c>
      <x:c r="B36" s="6"/>
      <x:c r="C36" s="8" t="n">
        <x:v>61.3</x:v>
      </x:c>
      <x:c r="D36" s="8" t="n">
        <x:v>17.8</x:v>
      </x:c>
      <x:c r="E36" s="6" t="str">
        <x:v>Live cart shipping/tax estimator,UnitedStates/Georgia/30510,UPSGround,2026-09-24. Exact street/address checkout not performed. Tax estimate belongs only to this order; do not apply inferred rate globally.</x:v>
      </x:c>
      <x:c r="F36" s="6"/>
      <x:c r="G36" s="6"/>
      <x:c r="H36" s="6"/>
      <x:c r="I36" s="2"/>
      <x:c r="J36" s="2"/>
      <x:c r="K36" s="2"/>
    </x:row>
    <x:row r="37" ht="82" customHeight="1">
      <x:c r="A37" s="6" t="str">
        <x:v>Nutty</x:v>
      </x:c>
      <x:c r="B37" s="6"/>
      <x:c r="C37" s="8" t="n">
        <x:v>0</x:v>
      </x:c>
      <x:c r="D37" s="8"/>
      <x:c r="E37" s="6" t="str">
        <x:v>Published US48 eligible-merchandise policy; one order. Goods are above $100 and qualify for free shipping. Each line rounded to cents; checkout may round fractions of a cent differently. Stock and tax not confirmed.</x:v>
      </x:c>
      <x:c r="F37" s="6"/>
      <x:c r="G37" s="6"/>
      <x:c r="H37" s="6"/>
      <x:c r="I37" s="2"/>
      <x:c r="J37" s="2"/>
      <x:c r="K37" s="2"/>
    </x:row>
    <x:row r="38" ht="64" customHeight="1">
      <x:c r="A38" s="6" t="str">
        <x:v>Amazon</x:v>
      </x:c>
      <x:c r="B38" s="6"/>
      <x:c r="C38" s="8" t="n">
        <x:v>0</x:v>
      </x:c>
      <x:c r="D38" s="8"/>
      <x:c r="E38" s="6" t="str">
        <x:v>Amazon product pages advertise free delivery to30510; eligible items grouped over35USD.</x:v>
      </x:c>
      <x:c r="F38" s="6"/>
      <x:c r="G38" s="6"/>
      <x:c r="H38" s="6"/>
      <x:c r="I38" s="2"/>
      <x:c r="J38" s="2"/>
      <x:c r="K38" s="2"/>
    </x:row>
    <x:row r="39" ht="64" customHeight="1">
      <x:c r="A39" s="6" t="str">
        <x:v>BIQU</x:v>
      </x:c>
      <x:c r="B39" s="6"/>
      <x:c r="C39" s="8" t="n">
        <x:v>0</x:v>
      </x:c>
      <x:c r="D39" s="8"/>
      <x:c r="E39" s="6" t="str">
        <x:v>Store advertises free shipping above threshold; combined listed order exceeds threshold. Not a ZIP-specific checkout quote.</x:v>
      </x:c>
      <x:c r="F39" s="6"/>
      <x:c r="G39" s="6"/>
      <x:c r="H39" s="6"/>
      <x:c r="I39" s="2"/>
      <x:c r="J39" s="2"/>
      <x:c r="K39" s="2"/>
    </x:row>
    <x:row r="40" ht="64" customHeight="1">
      <x:c r="A40" s="6" t="str">
        <x:v>AutomationDirect</x:v>
      </x:c>
      <x:c r="B40" s="6"/>
      <x:c r="C40" s="8" t="n">
        <x:v>0</x:v>
      </x:c>
      <x:c r="D40" s="8"/>
      <x:c r="E40" s="6" t="str">
        <x:v>Store advertises free shipping above threshold; combined listed order exceeds threshold. Not a ZIP-specific checkout quote.</x:v>
      </x:c>
      <x:c r="F40" s="6"/>
      <x:c r="G40" s="6"/>
      <x:c r="H40" s="6"/>
      <x:c r="I40" s="2"/>
      <x:c r="J40" s="2"/>
      <x:c r="K40" s="2"/>
    </x:row>
    <x:row r="41" ht="64" customHeight="1">
      <x:c r="A41" s="6" t="str">
        <x:v>Adafruit</x:v>
      </x:c>
      <x:c r="B41" s="6"/>
      <x:c r="C41" s="8"/>
      <x:c r="D41" s="8"/>
      <x:c r="E41" s="6" t="str">
        <x:v>Not quoted. Blank does not mean free.</x:v>
      </x:c>
      <x:c r="F41" s="6"/>
      <x:c r="G41" s="6"/>
      <x:c r="H41" s="6"/>
      <x:c r="I41" s="2"/>
      <x:c r="J41" s="2"/>
      <x:c r="K41" s="2"/>
    </x:row>
    <x:row r="42" ht="64" customHeight="1">
      <x:c r="A42" s="6" t="str">
        <x:v>Baomain</x:v>
      </x:c>
      <x:c r="B42" s="6"/>
      <x:c r="C42" s="8"/>
      <x:c r="D42" s="8"/>
      <x:c r="E42" s="6" t="str">
        <x:v>Not quoted. Blank does not mean free.</x:v>
      </x:c>
      <x:c r="F42" s="6"/>
      <x:c r="G42" s="6"/>
      <x:c r="H42" s="6"/>
      <x:c r="I42" s="2"/>
      <x:c r="J42" s="2"/>
      <x:c r="K42" s="2"/>
    </x:row>
    <x:row r="43" ht="64" customHeight="1">
      <x:c r="A43" s="6" t="str">
        <x:v>BelMetric</x:v>
      </x:c>
      <x:c r="B43" s="6"/>
      <x:c r="C43" s="8"/>
      <x:c r="D43" s="8"/>
      <x:c r="E43" s="6" t="str">
        <x:v>Not quoted. Blank does not mean free.</x:v>
      </x:c>
      <x:c r="F43" s="6"/>
      <x:c r="G43" s="6"/>
      <x:c r="H43" s="6"/>
      <x:c r="I43" s="2"/>
      <x:c r="J43" s="2"/>
      <x:c r="K43" s="2"/>
    </x:row>
    <x:row r="44" ht="64" customHeight="1">
      <x:c r="A44" s="6" t="str">
        <x:v>BlueSky Supplies</x:v>
      </x:c>
      <x:c r="B44" s="6"/>
      <x:c r="C44" s="8"/>
      <x:c r="D44" s="8"/>
      <x:c r="E44" s="6" t="str">
        <x:v>Not quoted. Blank does not mean free.</x:v>
      </x:c>
      <x:c r="F44" s="6"/>
      <x:c r="G44" s="6"/>
      <x:c r="H44" s="6"/>
      <x:c r="I44" s="2"/>
      <x:c r="J44" s="2"/>
      <x:c r="K44" s="2"/>
    </x:row>
    <x:row r="45" ht="64" customHeight="1">
      <x:c r="A45" s="6" t="str">
        <x:v>BuyMetal</x:v>
      </x:c>
      <x:c r="B45" s="6"/>
      <x:c r="C45" s="8"/>
      <x:c r="D45" s="8"/>
      <x:c r="E45" s="6" t="str">
        <x:v>Not quoted. Blank does not mean free.</x:v>
      </x:c>
      <x:c r="F45" s="6"/>
      <x:c r="G45" s="6"/>
      <x:c r="H45" s="6"/>
      <x:c r="I45" s="2"/>
      <x:c r="J45" s="2"/>
      <x:c r="K45" s="2"/>
    </x:row>
    <x:row r="46" ht="64" customHeight="1">
      <x:c r="A46" s="6" t="str">
        <x:v>Central States Hose</x:v>
      </x:c>
      <x:c r="B46" s="6"/>
      <x:c r="C46" s="8"/>
      <x:c r="D46" s="8"/>
      <x:c r="E46" s="6" t="str">
        <x:v>Not quoted. Blank does not mean free.</x:v>
      </x:c>
      <x:c r="F46" s="6"/>
      <x:c r="G46" s="6"/>
      <x:c r="H46" s="6"/>
      <x:c r="I46" s="2"/>
      <x:c r="J46" s="2"/>
      <x:c r="K46" s="2"/>
    </x:row>
    <x:row r="47" ht="64" customHeight="1">
      <x:c r="A47" s="6" t="str">
        <x:v>DigiKey</x:v>
      </x:c>
      <x:c r="B47" s="6"/>
      <x:c r="C47" s="8"/>
      <x:c r="D47" s="8"/>
      <x:c r="E47" s="6" t="str">
        <x:v>Not quoted. Blank does not mean free.</x:v>
      </x:c>
      <x:c r="F47" s="6"/>
      <x:c r="G47" s="6"/>
      <x:c r="H47" s="6"/>
      <x:c r="I47" s="2"/>
      <x:c r="J47" s="2"/>
      <x:c r="K47" s="2"/>
    </x:row>
    <x:row r="48" ht="64" customHeight="1">
      <x:c r="A48" s="6" t="str">
        <x:v>Fastener Mart</x:v>
      </x:c>
      <x:c r="B48" s="6"/>
      <x:c r="C48" s="8"/>
      <x:c r="D48" s="8"/>
      <x:c r="E48" s="6" t="str">
        <x:v>Not quoted. Blank does not mean free.</x:v>
      </x:c>
      <x:c r="F48" s="6"/>
      <x:c r="G48" s="6"/>
      <x:c r="H48" s="6"/>
      <x:c r="I48" s="2"/>
      <x:c r="J48" s="2"/>
      <x:c r="K48" s="2"/>
    </x:row>
    <x:row r="49" ht="64" customHeight="1">
      <x:c r="A49" s="6" t="str">
        <x:v>JEGS</x:v>
      </x:c>
      <x:c r="B49" s="6"/>
      <x:c r="C49" s="8"/>
      <x:c r="D49" s="8"/>
      <x:c r="E49" s="6" t="str">
        <x:v>Not quoted. Blank does not mean free.</x:v>
      </x:c>
      <x:c r="F49" s="6"/>
      <x:c r="G49" s="6"/>
      <x:c r="H49" s="6"/>
      <x:c r="I49" s="2"/>
      <x:c r="J49" s="2"/>
      <x:c r="K49" s="2"/>
    </x:row>
    <x:row r="50" ht="64" customHeight="1">
      <x:c r="A50" s="6" t="str">
        <x:v>Lowe's</x:v>
      </x:c>
      <x:c r="B50" s="6"/>
      <x:c r="C50" s="8"/>
      <x:c r="D50" s="8"/>
      <x:c r="E50" s="6" t="str">
        <x:v>Not quoted. Blank does not mean free.</x:v>
      </x:c>
      <x:c r="F50" s="6"/>
      <x:c r="G50" s="6"/>
      <x:c r="H50" s="6"/>
      <x:c r="I50" s="2"/>
      <x:c r="J50" s="2"/>
      <x:c r="K50" s="2"/>
    </x:row>
    <x:row r="51" ht="64" customHeight="1">
      <x:c r="A51" s="6" t="str">
        <x:v>Mouser</x:v>
      </x:c>
      <x:c r="B51" s="6"/>
      <x:c r="C51" s="8"/>
      <x:c r="D51" s="8"/>
      <x:c r="E51" s="6" t="str">
        <x:v>Not quoted. Blank does not mean free.</x:v>
      </x:c>
      <x:c r="F51" s="6"/>
      <x:c r="G51" s="6"/>
      <x:c r="H51" s="6"/>
      <x:c r="I51" s="2"/>
      <x:c r="J51" s="2"/>
      <x:c r="K51" s="2"/>
    </x:row>
    <x:row r="52" ht="64" customHeight="1">
      <x:c r="A52" s="6" t="str">
        <x:v>Norelem</x:v>
      </x:c>
      <x:c r="B52" s="6"/>
      <x:c r="C52" s="8"/>
      <x:c r="D52" s="8"/>
      <x:c r="E52" s="6" t="str">
        <x:v>Not quoted. Blank does not mean free.</x:v>
      </x:c>
      <x:c r="F52" s="6"/>
      <x:c r="G52" s="6"/>
      <x:c r="H52" s="6"/>
      <x:c r="I52" s="2"/>
      <x:c r="J52" s="2"/>
      <x:c r="K52" s="2"/>
    </x:row>
    <x:row r="53" ht="64" customHeight="1">
      <x:c r="A53" s="6" t="str">
        <x:v>OnlineMetals</x:v>
      </x:c>
      <x:c r="B53" s="6"/>
      <x:c r="C53" s="8"/>
      <x:c r="D53" s="8"/>
      <x:c r="E53" s="6" t="str">
        <x:v>Not quoted. Blank does not mean free.</x:v>
      </x:c>
      <x:c r="F53" s="6"/>
      <x:c r="G53" s="6"/>
      <x:c r="H53" s="6"/>
      <x:c r="I53" s="2"/>
      <x:c r="J53" s="2"/>
      <x:c r="K53" s="2"/>
    </x:row>
    <x:row r="54" ht="64" customHeight="1">
      <x:c r="A54" s="6" t="str">
        <x:v>Pro Flow Dynamics</x:v>
      </x:c>
      <x:c r="B54" s="6"/>
      <x:c r="C54" s="8"/>
      <x:c r="D54" s="8"/>
      <x:c r="E54" s="6" t="str">
        <x:v>Not quoted. Blank does not mean free.</x:v>
      </x:c>
      <x:c r="F54" s="6"/>
      <x:c r="G54" s="6"/>
      <x:c r="H54" s="6"/>
      <x:c r="I54" s="2"/>
      <x:c r="J54" s="2"/>
      <x:c r="K54" s="2"/>
    </x:row>
    <x:row r="55" ht="64" customHeight="1">
      <x:c r="A55" s="6" t="str">
        <x:v>SP Spareparts</x:v>
      </x:c>
      <x:c r="B55" s="6"/>
      <x:c r="C55" s="8"/>
      <x:c r="D55" s="8"/>
      <x:c r="E55" s="6" t="str">
        <x:v>Not quoted. Blank does not mean free.</x:v>
      </x:c>
      <x:c r="F55" s="6"/>
      <x:c r="G55" s="6"/>
      <x:c r="H55" s="6"/>
      <x:c r="I55" s="2"/>
      <x:c r="J55" s="2"/>
      <x:c r="K55" s="2"/>
    </x:row>
    <x:row r="56" ht="64" customHeight="1">
      <x:c r="A56" s="6" t="str">
        <x:v>Shapiro Supply</x:v>
      </x:c>
      <x:c r="B56" s="6"/>
      <x:c r="C56" s="8"/>
      <x:c r="D56" s="8"/>
      <x:c r="E56" s="6" t="str">
        <x:v>Not quoted. Blank does not mean free.</x:v>
      </x:c>
      <x:c r="F56" s="6"/>
      <x:c r="G56" s="6"/>
      <x:c r="H56" s="6"/>
      <x:c r="I56" s="2"/>
      <x:c r="J56" s="2"/>
      <x:c r="K56" s="2"/>
    </x:row>
    <x:row r="57" ht="64" customHeight="1">
      <x:c r="A57" s="6" t="str">
        <x:v>Zoro</x:v>
      </x:c>
      <x:c r="B57" s="6"/>
      <x:c r="C57" s="8"/>
      <x:c r="D57" s="8"/>
      <x:c r="E57" s="6" t="str">
        <x:v>Not quoted. Blank does not mean free.</x:v>
      </x:c>
      <x:c r="F57" s="6"/>
      <x:c r="G57" s="6"/>
      <x:c r="H57" s="6"/>
      <x:c r="I57" s="2"/>
      <x:c r="J57" s="2"/>
      <x:c r="K57" s="2"/>
    </x:row>
    <x:row r="58" ht="26" customHeight="1">
      <x:c r="A58" s="6"/>
      <x:c r="B58" s="6"/>
      <x:c r="C58" s="6"/>
      <x:c r="D58" s="6"/>
      <x:c r="E58" s="6"/>
      <x:c r="F58" s="6"/>
      <x:c r="G58" s="6"/>
      <x:c r="H58" s="6"/>
      <x:c r="I58" s="2"/>
      <x:c r="J58" s="2"/>
      <x:c r="K58" s="2"/>
    </x:row>
    <x:row r="59" ht="26" customHeight="1">
      <x:c r="A59" s="6" t="str">
        <x:v>80/20 cart: $193.01 goods + $61.30 UPS Ground + $17.80 estimated tax = $272.11. This is the only destination-specific vendor cart total captured; no order was placed. Other tax, tariffs and blank freight remain unknown.</x:v>
      </x:c>
      <x:c r="B59" s="6"/>
      <x:c r="C59" s="6"/>
      <x:c r="D59" s="6"/>
      <x:c r="E59" s="6"/>
      <x:c r="F59" s="6"/>
      <x:c r="G59" s="6"/>
      <x:c r="H59" s="6"/>
      <x:c r="I59" s="2"/>
      <x:c r="J59" s="2"/>
      <x:c r="K59" s="2"/>
    </x:row>
    <x:row r="60" ht="26" customHeight="1">
      <x:c r="A60" s="6"/>
      <x:c r="B60" s="6"/>
      <x:c r="C60" s="6"/>
      <x:c r="D60" s="6"/>
      <x:c r="E60" s="6"/>
      <x:c r="F60" s="6"/>
      <x:c r="G60" s="6"/>
      <x:c r="H60" s="6"/>
      <x:c r="I60" s="2"/>
      <x:c r="J60" s="2"/>
      <x:c r="K60" s="2"/>
    </x:row>
    <x:row r="61" ht="26" customHeight="1">
      <x:c r="A61" s="6"/>
      <x:c r="B61" s="6"/>
      <x:c r="C61" s="6"/>
      <x:c r="D61" s="6"/>
      <x:c r="E61" s="6"/>
      <x:c r="F61" s="6"/>
      <x:c r="G61" s="6"/>
      <x:c r="H61" s="6"/>
      <x:c r="I61" s="2"/>
      <x:c r="J61" s="2"/>
      <x:c r="K61" s="2"/>
    </x:row>
    <x:row r="62" ht="26" customHeight="1">
      <x:c r="A62" s="6"/>
      <x:c r="B62" s="6"/>
      <x:c r="C62" s="6"/>
      <x:c r="D62" s="6"/>
      <x:c r="E62" s="6"/>
      <x:c r="F62" s="6"/>
      <x:c r="G62" s="6"/>
      <x:c r="H62" s="6"/>
      <x:c r="I62" s="2"/>
      <x:c r="J62" s="2"/>
      <x:c r="K62" s="2"/>
    </x:row>
    <x:row r="63" ht="26" customHeight="1">
      <x:c r="A63" s="6"/>
      <x:c r="B63" s="6"/>
      <x:c r="C63" s="6"/>
      <x:c r="D63" s="6"/>
      <x:c r="E63" s="6"/>
      <x:c r="F63" s="6"/>
      <x:c r="G63" s="6"/>
      <x:c r="H63" s="6"/>
      <x:c r="I63" s="2"/>
      <x:c r="J63" s="2"/>
      <x:c r="K63" s="2"/>
    </x:row>
    <x:row r="64" ht="26" customHeight="1">
      <x:c r="A64" s="6"/>
      <x:c r="B64" s="6"/>
      <x:c r="C64" s="6"/>
      <x:c r="D64" s="6"/>
      <x:c r="E64" s="6"/>
      <x:c r="F64" s="6"/>
      <x:c r="G64" s="6"/>
      <x:c r="H64" s="6"/>
      <x:c r="I64" s="2"/>
      <x:c r="J64" s="2"/>
      <x:c r="K64" s="2"/>
    </x:row>
    <x:row r="65" ht="26" customHeight="1">
      <x:c r="A65" s="6"/>
      <x:c r="B65" s="6"/>
      <x:c r="C65" s="6"/>
      <x:c r="D65" s="6"/>
      <x:c r="E65" s="6"/>
      <x:c r="F65" s="6"/>
      <x:c r="G65" s="6"/>
      <x:c r="H65" s="6"/>
      <x:c r="I65" s="2"/>
      <x:c r="J65" s="2"/>
      <x:c r="K65" s="2"/>
    </x:row>
    <x:row r="66" ht="26" customHeight="1">
      <x:c r="A66" s="6"/>
      <x:c r="B66" s="6"/>
      <x:c r="C66" s="6"/>
      <x:c r="D66" s="6"/>
      <x:c r="E66" s="6"/>
      <x:c r="F66" s="6"/>
      <x:c r="G66" s="6"/>
      <x:c r="H66" s="6"/>
      <x:c r="I66" s="2"/>
      <x:c r="J66" s="2"/>
      <x:c r="K66" s="2"/>
    </x:row>
    <x:row r="67" ht="26" customHeight="1">
      <x:c r="A67" s="6"/>
      <x:c r="B67" s="6"/>
      <x:c r="C67" s="6"/>
      <x:c r="D67" s="6"/>
      <x:c r="E67" s="6"/>
      <x:c r="F67" s="6"/>
      <x:c r="G67" s="6"/>
      <x:c r="H67" s="6"/>
      <x:c r="I67" s="2"/>
      <x:c r="J67" s="2"/>
      <x:c r="K67" s="2"/>
    </x:row>
    <x:row r="68" ht="26" customHeight="1">
      <x:c r="A68" s="6"/>
      <x:c r="B68" s="6"/>
      <x:c r="C68" s="6"/>
      <x:c r="D68" s="6"/>
      <x:c r="E68" s="6"/>
      <x:c r="F68" s="6"/>
      <x:c r="G68" s="6"/>
      <x:c r="H68" s="6"/>
      <x:c r="I68" s="2"/>
      <x:c r="J68" s="2"/>
      <x:c r="K68" s="2"/>
    </x:row>
    <x:row r="69" ht="26" customHeight="1">
      <x:c r="A69" s="6"/>
      <x:c r="B69" s="6"/>
      <x:c r="C69" s="6"/>
      <x:c r="D69" s="6"/>
      <x:c r="E69" s="6"/>
      <x:c r="F69" s="6"/>
      <x:c r="G69" s="6"/>
      <x:c r="H69" s="6"/>
      <x:c r="I69" s="2"/>
      <x:c r="J69" s="2"/>
      <x:c r="K69" s="2"/>
    </x:row>
    <x:row r="70" ht="26" customHeight="1">
      <x:c r="A70" s="6"/>
      <x:c r="B70" s="6"/>
      <x:c r="C70" s="6"/>
      <x:c r="D70" s="6"/>
      <x:c r="E70" s="6"/>
      <x:c r="F70" s="6"/>
      <x:c r="G70" s="6"/>
      <x:c r="H70" s="6"/>
      <x:c r="I70" s="2"/>
      <x:c r="J70" s="2"/>
      <x:c r="K70" s="2"/>
    </x:row>
    <x:row r="71" ht="26" customHeight="1">
      <x:c r="A71" s="6"/>
      <x:c r="B71" s="6"/>
      <x:c r="C71" s="6"/>
      <x:c r="D71" s="6"/>
      <x:c r="E71" s="6"/>
      <x:c r="F71" s="6"/>
      <x:c r="G71" s="6"/>
      <x:c r="H71" s="6"/>
      <x:c r="I71" s="2"/>
      <x:c r="J71" s="2"/>
      <x:c r="K71" s="2"/>
    </x:row>
    <x:row r="72" ht="26" customHeight="1">
      <x:c r="A72" s="6"/>
      <x:c r="B72" s="6"/>
      <x:c r="C72" s="6"/>
      <x:c r="D72" s="6"/>
      <x:c r="E72" s="6"/>
      <x:c r="F72" s="6"/>
      <x:c r="G72" s="6"/>
      <x:c r="H72" s="6"/>
      <x:c r="I72" s="2"/>
      <x:c r="J72" s="2"/>
      <x:c r="K72" s="2"/>
    </x:row>
    <x:row r="73" ht="26" customHeight="1">
      <x:c r="A73" s="6"/>
      <x:c r="B73" s="6"/>
      <x:c r="C73" s="6"/>
      <x:c r="D73" s="6"/>
      <x:c r="E73" s="6"/>
      <x:c r="F73" s="6"/>
      <x:c r="G73" s="6"/>
      <x:c r="H73" s="6"/>
      <x:c r="I73" s="2"/>
      <x:c r="J73" s="2"/>
      <x:c r="K73" s="2"/>
    </x:row>
    <x:row r="74" ht="26" customHeight="1">
      <x:c r="A74" s="6"/>
      <x:c r="B74" s="6"/>
      <x:c r="C74" s="6"/>
      <x:c r="D74" s="6"/>
      <x:c r="E74" s="6"/>
      <x:c r="F74" s="6"/>
      <x:c r="G74" s="6"/>
      <x:c r="H74" s="6"/>
      <x:c r="I74" s="2"/>
      <x:c r="J74" s="2"/>
      <x:c r="K74" s="2"/>
    </x:row>
    <x:row r="75" ht="26" customHeight="1">
      <x:c r="A75" s="6"/>
      <x:c r="B75" s="6"/>
      <x:c r="C75" s="6"/>
      <x:c r="D75" s="6"/>
      <x:c r="E75" s="6"/>
      <x:c r="F75" s="6"/>
      <x:c r="G75" s="6"/>
      <x:c r="H75" s="6"/>
      <x:c r="I75" s="2"/>
      <x:c r="J75" s="2"/>
      <x:c r="K75" s="2"/>
    </x:row>
    <x:row r="76" ht="26" customHeight="1">
      <x:c r="A76" s="6"/>
      <x:c r="B76" s="6"/>
      <x:c r="C76" s="6"/>
      <x:c r="D76" s="6"/>
      <x:c r="E76" s="6"/>
      <x:c r="F76" s="6"/>
      <x:c r="G76" s="6"/>
      <x:c r="H76" s="6"/>
      <x:c r="I76" s="2"/>
      <x:c r="J76" s="2"/>
      <x:c r="K76" s="2"/>
    </x:row>
    <x:row r="77" ht="26" customHeight="1">
      <x:c r="A77" s="6"/>
      <x:c r="B77" s="6"/>
      <x:c r="C77" s="6"/>
      <x:c r="D77" s="6"/>
      <x:c r="E77" s="6"/>
      <x:c r="F77" s="6"/>
      <x:c r="G77" s="6"/>
      <x:c r="H77" s="6"/>
      <x:c r="I77" s="2"/>
      <x:c r="J77" s="2"/>
      <x:c r="K77" s="2"/>
    </x:row>
    <x:row r="78" ht="26" customHeight="1">
      <x:c r="A78" s="6"/>
      <x:c r="B78" s="6"/>
      <x:c r="C78" s="6"/>
      <x:c r="D78" s="6"/>
      <x:c r="E78" s="6"/>
      <x:c r="F78" s="6"/>
      <x:c r="G78" s="6"/>
      <x:c r="H78" s="6"/>
      <x:c r="I78" s="2"/>
      <x:c r="J78" s="2"/>
      <x:c r="K78" s="2"/>
    </x:row>
    <x:row r="79" ht="26" customHeight="1">
      <x:c r="A79" s="6"/>
      <x:c r="B79" s="6"/>
      <x:c r="C79" s="6"/>
      <x:c r="D79" s="6"/>
      <x:c r="E79" s="6"/>
      <x:c r="F79" s="6"/>
      <x:c r="G79" s="6"/>
      <x:c r="H79" s="6"/>
      <x:c r="I79" s="2"/>
      <x:c r="J79" s="2"/>
      <x:c r="K79" s="2"/>
    </x:row>
    <x:row r="80" ht="26" customHeight="1">
      <x:c r="A80" s="6"/>
      <x:c r="B80" s="6"/>
      <x:c r="C80" s="6"/>
      <x:c r="D80" s="6"/>
      <x:c r="E80" s="6"/>
      <x:c r="F80" s="6"/>
      <x:c r="G80" s="6"/>
      <x:c r="H80" s="6"/>
      <x:c r="I80" s="2"/>
      <x:c r="J80" s="2"/>
      <x:c r="K80" s="2"/>
    </x:row>
    <x:row r="81" ht="26" customHeight="1">
      <x:c r="A81" s="6"/>
      <x:c r="B81" s="6"/>
      <x:c r="C81" s="6"/>
      <x:c r="D81" s="6"/>
      <x:c r="E81" s="6"/>
      <x:c r="F81" s="6"/>
      <x:c r="G81" s="6"/>
      <x:c r="H81" s="6"/>
      <x:c r="I81" s="2"/>
      <x:c r="J81" s="2"/>
      <x:c r="K81" s="2"/>
    </x:row>
    <x:row r="82" ht="26" customHeight="1">
      <x:c r="A82" s="6"/>
      <x:c r="B82" s="6"/>
      <x:c r="C82" s="6"/>
      <x:c r="D82" s="6"/>
      <x:c r="E82" s="6"/>
      <x:c r="F82" s="6"/>
      <x:c r="G82" s="6"/>
      <x:c r="H82" s="6"/>
      <x:c r="I82" s="2"/>
      <x:c r="J82" s="2"/>
      <x:c r="K82" s="2"/>
    </x:row>
    <x:row r="83" ht="26" customHeight="1">
      <x:c r="A83" s="6"/>
      <x:c r="B83" s="6"/>
      <x:c r="C83" s="6"/>
      <x:c r="D83" s="6"/>
      <x:c r="E83" s="6"/>
      <x:c r="F83" s="6"/>
      <x:c r="G83" s="6"/>
      <x:c r="H83" s="6"/>
      <x:c r="I83" s="2"/>
      <x:c r="J83" s="2"/>
      <x:c r="K83" s="2"/>
    </x:row>
    <x:row r="84" ht="26" customHeight="1">
      <x:c r="A84" s="6"/>
      <x:c r="B84" s="6"/>
      <x:c r="C84" s="6"/>
      <x:c r="D84" s="6"/>
      <x:c r="E84" s="6"/>
      <x:c r="F84" s="6"/>
      <x:c r="G84" s="6"/>
      <x:c r="H84" s="6"/>
      <x:c r="I84" s="2"/>
      <x:c r="J84" s="2"/>
      <x:c r="K84" s="2"/>
    </x:row>
    <x:row r="85" ht="26" customHeight="1">
      <x:c r="A85" s="6"/>
      <x:c r="B85" s="6"/>
      <x:c r="C85" s="6"/>
      <x:c r="D85" s="6"/>
      <x:c r="E85" s="6"/>
      <x:c r="F85" s="6"/>
      <x:c r="G85" s="6"/>
      <x:c r="H85" s="6"/>
      <x:c r="I85" s="2"/>
      <x:c r="J85" s="2"/>
      <x:c r="K85" s="2"/>
    </x:row>
    <x:row r="86" ht="26" customHeight="1">
      <x:c r="A86" s="6"/>
      <x:c r="B86" s="6"/>
      <x:c r="C86" s="6"/>
      <x:c r="D86" s="6"/>
      <x:c r="E86" s="6"/>
      <x:c r="F86" s="6"/>
      <x:c r="G86" s="6"/>
      <x:c r="H86" s="6"/>
      <x:c r="I86" s="2"/>
      <x:c r="J86" s="2"/>
      <x:c r="K86" s="2"/>
    </x:row>
    <x:row r="87" ht="26" customHeight="1">
      <x:c r="A87" s="6"/>
      <x:c r="B87" s="6"/>
      <x:c r="C87" s="6"/>
      <x:c r="D87" s="6"/>
      <x:c r="E87" s="6"/>
      <x:c r="F87" s="6"/>
      <x:c r="G87" s="6"/>
      <x:c r="H87" s="6"/>
      <x:c r="I87" s="2"/>
      <x:c r="J87" s="2"/>
      <x:c r="K87" s="2"/>
    </x:row>
    <x:row r="88" ht="26" customHeight="1">
      <x:c r="A88" s="6"/>
      <x:c r="B88" s="6"/>
      <x:c r="C88" s="6"/>
      <x:c r="D88" s="6"/>
      <x:c r="E88" s="6"/>
      <x:c r="F88" s="6"/>
      <x:c r="G88" s="6"/>
      <x:c r="H88" s="6"/>
      <x:c r="I88" s="2"/>
      <x:c r="J88" s="2"/>
      <x:c r="K88" s="2"/>
    </x:row>
    <x:row r="89" ht="26" customHeight="1">
      <x:c r="A89" s="6"/>
      <x:c r="B89" s="6"/>
      <x:c r="C89" s="6"/>
      <x:c r="D89" s="6"/>
      <x:c r="E89" s="6"/>
      <x:c r="F89" s="6"/>
      <x:c r="G89" s="6"/>
      <x:c r="H89" s="6"/>
      <x:c r="I89" s="2"/>
      <x:c r="J89" s="2"/>
      <x:c r="K89" s="2"/>
    </x:row>
    <x:row r="90" ht="26" customHeight="1">
      <x:c r="A90" s="6"/>
      <x:c r="B90" s="6"/>
      <x:c r="C90" s="6"/>
      <x:c r="D90" s="6"/>
      <x:c r="E90" s="6"/>
      <x:c r="F90" s="6"/>
      <x:c r="G90" s="6"/>
      <x:c r="H90" s="6"/>
      <x:c r="I90" s="2"/>
      <x:c r="J90" s="2"/>
      <x:c r="K90" s="2"/>
    </x:row>
    <x:row r="91" ht="26" customHeight="1">
      <x:c r="A91" s="6"/>
      <x:c r="B91" s="6"/>
      <x:c r="C91" s="6"/>
      <x:c r="D91" s="6"/>
      <x:c r="E91" s="6"/>
      <x:c r="F91" s="6"/>
      <x:c r="G91" s="6"/>
      <x:c r="H91" s="6"/>
      <x:c r="I91" s="2"/>
      <x:c r="J91" s="2"/>
      <x:c r="K91" s="2"/>
    </x:row>
    <x:row r="92" ht="26" customHeight="1">
      <x:c r="A92" s="6"/>
      <x:c r="B92" s="6"/>
      <x:c r="C92" s="6"/>
      <x:c r="D92" s="6"/>
      <x:c r="E92" s="6"/>
      <x:c r="F92" s="6"/>
      <x:c r="G92" s="6"/>
      <x:c r="H92" s="6"/>
      <x:c r="I92" s="2"/>
      <x:c r="J92" s="2"/>
      <x:c r="K92" s="2"/>
    </x:row>
    <x:row r="93" ht="26" customHeight="1">
      <x:c r="A93" s="6"/>
      <x:c r="B93" s="6"/>
      <x:c r="C93" s="6"/>
      <x:c r="D93" s="6"/>
      <x:c r="E93" s="6"/>
      <x:c r="F93" s="6"/>
      <x:c r="G93" s="6"/>
      <x:c r="H93" s="6"/>
      <x:c r="I93" s="2"/>
      <x:c r="J93" s="2"/>
      <x:c r="K93" s="2"/>
    </x:row>
    <x:row r="94" ht="26" customHeight="1">
      <x:c r="A94" s="6"/>
      <x:c r="B94" s="6"/>
      <x:c r="C94" s="6"/>
      <x:c r="D94" s="6"/>
      <x:c r="E94" s="6"/>
      <x:c r="F94" s="6"/>
      <x:c r="G94" s="6"/>
      <x:c r="H94" s="6"/>
      <x:c r="I94" s="2"/>
      <x:c r="J94" s="2"/>
      <x:c r="K94" s="2"/>
    </x:row>
    <x:row r="95" ht="26" customHeight="1">
      <x:c r="A95" s="6"/>
      <x:c r="B95" s="6"/>
      <x:c r="C95" s="6"/>
      <x:c r="D95" s="6"/>
      <x:c r="E95" s="6"/>
      <x:c r="F95" s="6"/>
      <x:c r="G95" s="6"/>
      <x:c r="H95" s="6"/>
      <x:c r="I95" s="2"/>
      <x:c r="J95" s="2"/>
      <x:c r="K95" s="2"/>
    </x:row>
    <x:row r="96" ht="26" customHeight="1">
      <x:c r="A96" s="6"/>
      <x:c r="B96" s="6"/>
      <x:c r="C96" s="6"/>
      <x:c r="D96" s="6"/>
      <x:c r="E96" s="6"/>
      <x:c r="F96" s="6"/>
      <x:c r="G96" s="6"/>
      <x:c r="H96" s="6"/>
      <x:c r="I96" s="2"/>
      <x:c r="J96" s="2"/>
      <x:c r="K96" s="2"/>
    </x:row>
    <x:row r="97" ht="26" customHeight="1">
      <x:c r="A97" s="6"/>
      <x:c r="B97" s="6"/>
      <x:c r="C97" s="6"/>
      <x:c r="D97" s="6"/>
      <x:c r="E97" s="6"/>
      <x:c r="F97" s="6"/>
      <x:c r="G97" s="6"/>
      <x:c r="H97" s="6"/>
      <x:c r="I97" s="2"/>
      <x:c r="J97" s="2"/>
      <x:c r="K97" s="2"/>
    </x:row>
    <x:row r="98" ht="26" customHeight="1">
      <x:c r="A98" s="6"/>
      <x:c r="B98" s="6"/>
      <x:c r="C98" s="6"/>
      <x:c r="D98" s="6"/>
      <x:c r="E98" s="6"/>
      <x:c r="F98" s="6"/>
      <x:c r="G98" s="6"/>
      <x:c r="H98" s="6"/>
      <x:c r="I98" s="2"/>
      <x:c r="J98" s="2"/>
      <x:c r="K98" s="2"/>
    </x:row>
    <x:row r="99" ht="26" customHeight="1">
      <x:c r="A99" s="6"/>
      <x:c r="B99" s="6"/>
      <x:c r="C99" s="6"/>
      <x:c r="D99" s="6"/>
      <x:c r="E99" s="6"/>
      <x:c r="F99" s="6"/>
      <x:c r="G99" s="6"/>
      <x:c r="H99" s="6"/>
      <x:c r="I99" s="2"/>
      <x:c r="J99" s="2"/>
      <x:c r="K99" s="2"/>
    </x:row>
    <x:row r="100" ht="26" customHeight="1">
      <x:c r="A100" s="6"/>
      <x:c r="B100" s="6"/>
      <x:c r="C100" s="6"/>
      <x:c r="D100" s="6"/>
      <x:c r="E100" s="6"/>
      <x:c r="F100" s="6"/>
      <x:c r="G100" s="6"/>
      <x:c r="H100" s="6"/>
      <x:c r="I100" s="2"/>
      <x:c r="J100" s="2"/>
      <x:c r="K100" s="2"/>
    </x:row>
    <x:row r="101">
      <x:c r="A101" s="2"/>
      <x:c r="B101" s="2"/>
      <x:c r="C101" s="2"/>
      <x:c r="D101" s="2"/>
      <x:c r="E101" s="2"/>
      <x:c r="F101" s="2"/>
      <x:c r="G101" s="2"/>
      <x:c r="H101" s="2"/>
      <x:c r="I101" s="2"/>
      <x:c r="J101" s="2"/>
      <x:c r="K101" s="2"/>
    </x:row>
    <x:row r="102">
      <x:c r="A102" s="2"/>
      <x:c r="B102" s="2"/>
      <x:c r="C102" s="2"/>
      <x:c r="D102" s="2"/>
      <x:c r="E102" s="2"/>
      <x:c r="F102" s="2"/>
      <x:c r="G102" s="2"/>
      <x:c r="H102" s="2"/>
      <x:c r="I102" s="2"/>
      <x:c r="J102" s="2"/>
      <x:c r="K102" s="2"/>
    </x:row>
    <x:row r="103">
      <x:c r="A103" s="2"/>
      <x:c r="B103" s="2"/>
      <x:c r="C103" s="2"/>
      <x:c r="D103" s="2"/>
      <x:c r="E103" s="2"/>
      <x:c r="F103" s="2"/>
      <x:c r="G103" s="2"/>
      <x:c r="H103" s="2"/>
      <x:c r="I103" s="2"/>
      <x:c r="J103" s="2"/>
      <x:c r="K103" s="2"/>
    </x:row>
    <x:row r="104">
      <x:c r="A104" s="2"/>
      <x:c r="B104" s="2"/>
      <x:c r="C104" s="2"/>
      <x:c r="D104" s="2"/>
      <x:c r="E104" s="2"/>
      <x:c r="F104" s="2"/>
      <x:c r="G104" s="2"/>
      <x:c r="H104" s="2"/>
      <x:c r="I104" s="2"/>
      <x:c r="J104" s="2"/>
      <x:c r="K104" s="2"/>
    </x:row>
    <x:row r="105">
      <x:c r="A105" s="2"/>
      <x:c r="B105" s="2"/>
      <x:c r="C105" s="2"/>
      <x:c r="D105" s="2"/>
      <x:c r="E105" s="2"/>
      <x:c r="F105" s="2"/>
      <x:c r="G105" s="2"/>
      <x:c r="H105" s="2"/>
      <x:c r="I105" s="2"/>
      <x:c r="J105" s="2"/>
      <x:c r="K105" s="2"/>
    </x:row>
    <x:row r="106">
      <x:c r="A106" s="2"/>
      <x:c r="B106" s="2"/>
      <x:c r="C106" s="2"/>
      <x:c r="D106" s="2"/>
      <x:c r="E106" s="2"/>
      <x:c r="F106" s="2"/>
      <x:c r="G106" s="2"/>
      <x:c r="H106" s="2"/>
      <x:c r="I106" s="2"/>
      <x:c r="J106" s="2"/>
      <x:c r="K106" s="2"/>
    </x:row>
    <x:row r="107">
      <x:c r="A107" s="2"/>
      <x:c r="B107" s="2"/>
      <x:c r="C107" s="2"/>
      <x:c r="D107" s="2"/>
      <x:c r="E107" s="2"/>
      <x:c r="F107" s="2"/>
      <x:c r="G107" s="2"/>
      <x:c r="H107" s="2"/>
      <x:c r="I107" s="2"/>
      <x:c r="J107" s="2"/>
      <x:c r="K107" s="2"/>
    </x:row>
    <x:row r="108">
      <x:c r="A108" s="2"/>
      <x:c r="B108" s="2"/>
      <x:c r="C108" s="2"/>
      <x:c r="D108" s="2"/>
      <x:c r="E108" s="2"/>
      <x:c r="F108" s="2"/>
      <x:c r="G108" s="2"/>
      <x:c r="H108" s="2"/>
      <x:c r="I108" s="2"/>
      <x:c r="J108" s="2"/>
      <x:c r="K108" s="2"/>
    </x:row>
    <x:row r="109">
      <x:c r="A109" s="2"/>
      <x:c r="B109" s="2"/>
      <x:c r="C109" s="2"/>
      <x:c r="D109" s="2"/>
      <x:c r="E109" s="2"/>
      <x:c r="F109" s="2"/>
      <x:c r="G109" s="2"/>
      <x:c r="H109" s="2"/>
      <x:c r="I109" s="2"/>
      <x:c r="J109" s="2"/>
      <x:c r="K109" s="2"/>
    </x:row>
    <x:row r="110">
      <x:c r="A110" s="2"/>
      <x:c r="B110" s="2"/>
      <x:c r="C110" s="2"/>
      <x:c r="D110" s="2"/>
      <x:c r="E110" s="2"/>
      <x:c r="F110" s="2"/>
      <x:c r="G110" s="2"/>
      <x:c r="H110" s="2"/>
      <x:c r="I110" s="2"/>
      <x:c r="J110" s="2"/>
      <x:c r="K110" s="2"/>
    </x:row>
    <x:row r="111">
      <x:c r="A111" s="2"/>
      <x:c r="B111" s="2"/>
      <x:c r="C111" s="2"/>
      <x:c r="D111" s="2"/>
      <x:c r="E111" s="2"/>
      <x:c r="F111" s="2"/>
      <x:c r="G111" s="2"/>
      <x:c r="H111" s="2"/>
      <x:c r="I111" s="2"/>
      <x:c r="J111" s="2"/>
      <x:c r="K111" s="2"/>
    </x:row>
    <x:row r="112">
      <x:c r="A112" s="2"/>
      <x:c r="B112" s="2"/>
      <x:c r="C112" s="2"/>
      <x:c r="D112" s="2"/>
      <x:c r="E112" s="2"/>
      <x:c r="F112" s="2"/>
      <x:c r="G112" s="2"/>
      <x:c r="H112" s="2"/>
      <x:c r="I112" s="2"/>
      <x:c r="J112" s="2"/>
      <x:c r="K112" s="2"/>
    </x:row>
    <x:row r="113">
      <x:c r="A113" s="2"/>
      <x:c r="B113" s="2"/>
      <x:c r="C113" s="2"/>
      <x:c r="D113" s="2"/>
      <x:c r="E113" s="2"/>
      <x:c r="F113" s="2"/>
      <x:c r="G113" s="2"/>
      <x:c r="H113" s="2"/>
      <x:c r="I113" s="2"/>
      <x:c r="J113" s="2"/>
      <x:c r="K113" s="2"/>
    </x:row>
    <x:row r="114">
      <x:c r="A114" s="2"/>
      <x:c r="B114" s="2"/>
      <x:c r="C114" s="2"/>
      <x:c r="D114" s="2"/>
      <x:c r="E114" s="2"/>
      <x:c r="F114" s="2"/>
      <x:c r="G114" s="2"/>
      <x:c r="H114" s="2"/>
      <x:c r="I114" s="2"/>
      <x:c r="J114" s="2"/>
      <x:c r="K114" s="2"/>
    </x:row>
    <x:row r="115">
      <x:c r="A115" s="2"/>
      <x:c r="B115" s="2"/>
      <x:c r="C115" s="2"/>
      <x:c r="D115" s="2"/>
      <x:c r="E115" s="2"/>
      <x:c r="F115" s="2"/>
      <x:c r="G115" s="2"/>
      <x:c r="H115" s="2"/>
      <x:c r="I115" s="2"/>
      <x:c r="J115" s="2"/>
      <x:c r="K115" s="2"/>
    </x:row>
    <x:row r="116">
      <x:c r="A116" s="2"/>
      <x:c r="B116" s="2"/>
      <x:c r="C116" s="2"/>
      <x:c r="D116" s="2"/>
      <x:c r="E116" s="2"/>
      <x:c r="F116" s="2"/>
      <x:c r="G116" s="2"/>
      <x:c r="H116" s="2"/>
      <x:c r="I116" s="2"/>
      <x:c r="J116" s="2"/>
      <x:c r="K116" s="2"/>
    </x:row>
    <x:row r="117">
      <x:c r="A117" s="2"/>
      <x:c r="B117" s="2"/>
      <x:c r="C117" s="2"/>
      <x:c r="D117" s="2"/>
      <x:c r="E117" s="2"/>
      <x:c r="F117" s="2"/>
      <x:c r="G117" s="2"/>
      <x:c r="H117" s="2"/>
      <x:c r="I117" s="2"/>
      <x:c r="J117" s="2"/>
      <x:c r="K117" s="2"/>
    </x:row>
    <x:row r="118">
      <x:c r="A118" s="2"/>
      <x:c r="B118" s="2"/>
      <x:c r="C118" s="2"/>
      <x:c r="D118" s="2"/>
      <x:c r="E118" s="2"/>
      <x:c r="F118" s="2"/>
      <x:c r="G118" s="2"/>
      <x:c r="H118" s="2"/>
      <x:c r="I118" s="2"/>
      <x:c r="J118" s="2"/>
      <x:c r="K118" s="2"/>
    </x:row>
    <x:row r="119">
      <x:c r="A119" s="2"/>
      <x:c r="B119" s="2"/>
      <x:c r="C119" s="2"/>
      <x:c r="D119" s="2"/>
      <x:c r="E119" s="2"/>
      <x:c r="F119" s="2"/>
      <x:c r="G119" s="2"/>
      <x:c r="H119" s="2"/>
      <x:c r="I119" s="2"/>
      <x:c r="J119" s="2"/>
      <x:c r="K119" s="2"/>
    </x:row>
    <x:row r="120">
      <x:c r="A120" s="2"/>
      <x:c r="B120" s="2"/>
      <x:c r="C120" s="2"/>
      <x:c r="D120" s="2"/>
      <x:c r="E120" s="2"/>
      <x:c r="F120" s="2"/>
      <x:c r="G120" s="2"/>
      <x:c r="H120" s="2"/>
      <x:c r="I120" s="2"/>
      <x:c r="J120" s="2"/>
      <x:c r="K120" s="2"/>
    </x:row>
    <x:row r="121">
      <x:c r="A121" s="2"/>
      <x:c r="B121" s="2"/>
      <x:c r="C121" s="2"/>
      <x:c r="D121" s="2"/>
      <x:c r="E121" s="2"/>
      <x:c r="F121" s="2"/>
      <x:c r="G121" s="2"/>
      <x:c r="H121" s="2"/>
      <x:c r="I121" s="2"/>
      <x:c r="J121" s="2"/>
      <x:c r="K121" s="2"/>
    </x:row>
    <x:row r="122">
      <x:c r="A122" s="2"/>
      <x:c r="B122" s="2"/>
      <x:c r="C122" s="2"/>
      <x:c r="D122" s="2"/>
      <x:c r="E122" s="2"/>
      <x:c r="F122" s="2"/>
      <x:c r="G122" s="2"/>
      <x:c r="H122" s="2"/>
      <x:c r="I122" s="2"/>
      <x:c r="J122" s="2"/>
      <x:c r="K122" s="2"/>
    </x:row>
    <x:row r="123">
      <x:c r="A123" s="2"/>
      <x:c r="B123" s="2"/>
      <x:c r="C123" s="2"/>
      <x:c r="D123" s="2"/>
      <x:c r="E123" s="2"/>
      <x:c r="F123" s="2"/>
      <x:c r="G123" s="2"/>
      <x:c r="H123" s="2"/>
      <x:c r="I123" s="2"/>
      <x:c r="J123" s="2"/>
      <x:c r="K123" s="2"/>
    </x:row>
    <x:row r="124">
      <x:c r="A124" s="2"/>
      <x:c r="B124" s="2"/>
      <x:c r="C124" s="2"/>
      <x:c r="D124" s="2"/>
      <x:c r="E124" s="2"/>
      <x:c r="F124" s="2"/>
      <x:c r="G124" s="2"/>
      <x:c r="H124" s="2"/>
      <x:c r="I124" s="2"/>
      <x:c r="J124" s="2"/>
      <x:c r="K124" s="2"/>
    </x:row>
    <x:row r="125">
      <x:c r="A125" s="2"/>
      <x:c r="B125" s="2"/>
      <x:c r="C125" s="2"/>
      <x:c r="D125" s="2"/>
      <x:c r="E125" s="2"/>
      <x:c r="F125" s="2"/>
      <x:c r="G125" s="2"/>
      <x:c r="H125" s="2"/>
      <x:c r="I125" s="2"/>
      <x:c r="J125" s="2"/>
      <x:c r="K125" s="2"/>
    </x:row>
    <x:row r="126">
      <x:c r="A126" s="2"/>
      <x:c r="B126" s="2"/>
      <x:c r="C126" s="2"/>
      <x:c r="D126" s="2"/>
      <x:c r="E126" s="2"/>
      <x:c r="F126" s="2"/>
      <x:c r="G126" s="2"/>
      <x:c r="H126" s="2"/>
      <x:c r="I126" s="2"/>
      <x:c r="J126" s="2"/>
      <x:c r="K126" s="2"/>
    </x:row>
    <x:row r="127">
      <x:c r="A127" s="2"/>
      <x:c r="B127" s="2"/>
      <x:c r="C127" s="2"/>
      <x:c r="D127" s="2"/>
      <x:c r="E127" s="2"/>
      <x:c r="F127" s="2"/>
      <x:c r="G127" s="2"/>
      <x:c r="H127" s="2"/>
      <x:c r="I127" s="2"/>
      <x:c r="J127" s="2"/>
      <x:c r="K127" s="2"/>
    </x:row>
    <x:row r="128">
      <x:c r="A128" s="2"/>
      <x:c r="B128" s="2"/>
      <x:c r="C128" s="2"/>
      <x:c r="D128" s="2"/>
      <x:c r="E128" s="2"/>
      <x:c r="F128" s="2"/>
      <x:c r="G128" s="2"/>
      <x:c r="H128" s="2"/>
      <x:c r="I128" s="2"/>
      <x:c r="J128" s="2"/>
      <x:c r="K128" s="2"/>
    </x:row>
    <x:row r="129">
      <x:c r="A129" s="2"/>
      <x:c r="B129" s="2"/>
      <x:c r="C129" s="2"/>
      <x:c r="D129" s="2"/>
      <x:c r="E129" s="2"/>
      <x:c r="F129" s="2"/>
      <x:c r="G129" s="2"/>
      <x:c r="H129" s="2"/>
      <x:c r="I129" s="2"/>
      <x:c r="J129" s="2"/>
      <x:c r="K129" s="2"/>
    </x:row>
    <x:row r="130">
      <x:c r="A130" s="2"/>
      <x:c r="B130" s="2"/>
      <x:c r="C130" s="2"/>
      <x:c r="D130" s="2"/>
      <x:c r="E130" s="2"/>
      <x:c r="F130" s="2"/>
      <x:c r="G130" s="2"/>
      <x:c r="H130" s="2"/>
      <x:c r="I130" s="2"/>
      <x:c r="J130" s="2"/>
      <x:c r="K130" s="2"/>
    </x:row>
    <x:row r="131">
      <x:c r="A131" s="2"/>
      <x:c r="B131" s="2"/>
      <x:c r="C131" s="2"/>
      <x:c r="D131" s="2"/>
      <x:c r="E131" s="2"/>
      <x:c r="F131" s="2"/>
      <x:c r="G131" s="2"/>
      <x:c r="H131" s="2"/>
      <x:c r="I131" s="2"/>
      <x:c r="J131" s="2"/>
      <x:c r="K131" s="2"/>
    </x:row>
    <x:row r="132">
      <x:c r="A132" s="2"/>
      <x:c r="B132" s="2"/>
      <x:c r="C132" s="2"/>
      <x:c r="D132" s="2"/>
      <x:c r="E132" s="2"/>
      <x:c r="F132" s="2"/>
      <x:c r="G132" s="2"/>
      <x:c r="H132" s="2"/>
      <x:c r="I132" s="2"/>
      <x:c r="J132" s="2"/>
      <x:c r="K132" s="2"/>
    </x:row>
    <x:row r="133">
      <x:c r="A133" s="2"/>
      <x:c r="B133" s="2"/>
      <x:c r="C133" s="2"/>
      <x:c r="D133" s="2"/>
      <x:c r="E133" s="2"/>
      <x:c r="F133" s="2"/>
      <x:c r="G133" s="2"/>
      <x:c r="H133" s="2"/>
      <x:c r="I133" s="2"/>
      <x:c r="J133" s="2"/>
      <x:c r="K133" s="2"/>
    </x:row>
    <x:row r="134">
      <x:c r="A134" s="2"/>
      <x:c r="B134" s="2"/>
      <x:c r="C134" s="2"/>
      <x:c r="D134" s="2"/>
      <x:c r="E134" s="2"/>
      <x:c r="F134" s="2"/>
      <x:c r="G134" s="2"/>
      <x:c r="H134" s="2"/>
      <x:c r="I134" s="2"/>
      <x:c r="J134" s="2"/>
      <x:c r="K134" s="2"/>
    </x:row>
    <x:row r="135">
      <x:c r="A135" s="2"/>
      <x:c r="B135" s="2"/>
      <x:c r="C135" s="2"/>
      <x:c r="D135" s="2"/>
      <x:c r="E135" s="2"/>
      <x:c r="F135" s="2"/>
      <x:c r="G135" s="2"/>
      <x:c r="H135" s="2"/>
      <x:c r="I135" s="2"/>
      <x:c r="J135" s="2"/>
      <x:c r="K135" s="2"/>
    </x:row>
    <x:row r="136">
      <x:c r="A136" s="2"/>
      <x:c r="B136" s="2"/>
      <x:c r="C136" s="2"/>
      <x:c r="D136" s="2"/>
      <x:c r="E136" s="2"/>
      <x:c r="F136" s="2"/>
      <x:c r="G136" s="2"/>
      <x:c r="H136" s="2"/>
      <x:c r="I136" s="2"/>
      <x:c r="J136" s="2"/>
      <x:c r="K136" s="2"/>
    </x:row>
    <x:row r="137">
      <x:c r="A137" s="2"/>
      <x:c r="B137" s="2"/>
      <x:c r="C137" s="2"/>
      <x:c r="D137" s="2"/>
      <x:c r="E137" s="2"/>
      <x:c r="F137" s="2"/>
      <x:c r="G137" s="2"/>
      <x:c r="H137" s="2"/>
      <x:c r="I137" s="2"/>
      <x:c r="J137" s="2"/>
      <x:c r="K137" s="2"/>
    </x:row>
    <x:row r="138">
      <x:c r="A138" s="2"/>
      <x:c r="B138" s="2"/>
      <x:c r="C138" s="2"/>
      <x:c r="D138" s="2"/>
      <x:c r="E138" s="2"/>
      <x:c r="F138" s="2"/>
      <x:c r="G138" s="2"/>
      <x:c r="H138" s="2"/>
      <x:c r="I138" s="2"/>
      <x:c r="J138" s="2"/>
      <x:c r="K138" s="2"/>
    </x:row>
    <x:row r="139">
      <x:c r="A139" s="2"/>
      <x:c r="B139" s="2"/>
      <x:c r="C139" s="2"/>
      <x:c r="D139" s="2"/>
      <x:c r="E139" s="2"/>
      <x:c r="F139" s="2"/>
      <x:c r="G139" s="2"/>
      <x:c r="H139" s="2"/>
      <x:c r="I139" s="2"/>
      <x:c r="J139" s="2"/>
      <x:c r="K139" s="2"/>
    </x:row>
    <x:row r="140">
      <x:c r="A140" s="2"/>
      <x:c r="B140" s="2"/>
      <x:c r="C140" s="2"/>
      <x:c r="D140" s="2"/>
      <x:c r="E140" s="2"/>
      <x:c r="F140" s="2"/>
      <x:c r="G140" s="2"/>
      <x:c r="H140" s="2"/>
      <x:c r="I140" s="2"/>
      <x:c r="J140" s="2"/>
      <x:c r="K140" s="2"/>
    </x:row>
    <x:row r="141">
      <x:c r="A141" s="2"/>
      <x:c r="B141" s="2"/>
      <x:c r="C141" s="2"/>
      <x:c r="D141" s="2"/>
      <x:c r="E141" s="2"/>
      <x:c r="F141" s="2"/>
      <x:c r="G141" s="2"/>
      <x:c r="H141" s="2"/>
      <x:c r="I141" s="2"/>
      <x:c r="J141" s="2"/>
      <x:c r="K141" s="2"/>
    </x:row>
    <x:row r="142">
      <x:c r="A142" s="2"/>
      <x:c r="B142" s="2"/>
      <x:c r="C142" s="2"/>
      <x:c r="D142" s="2"/>
      <x:c r="E142" s="2"/>
      <x:c r="F142" s="2"/>
      <x:c r="G142" s="2"/>
      <x:c r="H142" s="2"/>
      <x:c r="I142" s="2"/>
      <x:c r="J142" s="2"/>
      <x:c r="K142" s="2"/>
    </x:row>
    <x:row r="143">
      <x:c r="A143" s="2"/>
      <x:c r="B143" s="2"/>
      <x:c r="C143" s="2"/>
      <x:c r="D143" s="2"/>
      <x:c r="E143" s="2"/>
      <x:c r="F143" s="2"/>
      <x:c r="G143" s="2"/>
      <x:c r="H143" s="2"/>
      <x:c r="I143" s="2"/>
      <x:c r="J143" s="2"/>
      <x:c r="K143" s="2"/>
    </x:row>
    <x:row r="144">
      <x:c r="A144" s="2"/>
      <x:c r="B144" s="2"/>
      <x:c r="C144" s="2"/>
      <x:c r="D144" s="2"/>
      <x:c r="E144" s="2"/>
      <x:c r="F144" s="2"/>
      <x:c r="G144" s="2"/>
      <x:c r="H144" s="2"/>
      <x:c r="I144" s="2"/>
      <x:c r="J144" s="2"/>
      <x:c r="K144" s="2"/>
    </x:row>
    <x:row r="145">
      <x:c r="A145" s="2"/>
      <x:c r="B145" s="2"/>
      <x:c r="C145" s="2"/>
      <x:c r="D145" s="2"/>
      <x:c r="E145" s="2"/>
      <x:c r="F145" s="2"/>
      <x:c r="G145" s="2"/>
      <x:c r="H145" s="2"/>
      <x:c r="I145" s="2"/>
      <x:c r="J145" s="2"/>
      <x:c r="K145" s="2"/>
    </x:row>
    <x:row r="146">
      <x:c r="A146" s="2"/>
      <x:c r="B146" s="2"/>
      <x:c r="C146" s="2"/>
      <x:c r="D146" s="2"/>
      <x:c r="E146" s="2"/>
      <x:c r="F146" s="2"/>
      <x:c r="G146" s="2"/>
      <x:c r="H146" s="2"/>
      <x:c r="I146" s="2"/>
      <x:c r="J146" s="2"/>
      <x:c r="K146" s="2"/>
    </x:row>
    <x:row r="147">
      <x:c r="A147" s="2"/>
      <x:c r="B147" s="2"/>
      <x:c r="C147" s="2"/>
      <x:c r="D147" s="2"/>
      <x:c r="E147" s="2"/>
      <x:c r="F147" s="2"/>
      <x:c r="G147" s="2"/>
      <x:c r="H147" s="2"/>
      <x:c r="I147" s="2"/>
      <x:c r="J147" s="2"/>
      <x:c r="K147" s="2"/>
    </x:row>
    <x:row r="148">
      <x:c r="A148" s="2"/>
      <x:c r="B148" s="2"/>
      <x:c r="C148" s="2"/>
      <x:c r="D148" s="2"/>
      <x:c r="E148" s="2"/>
      <x:c r="F148" s="2"/>
      <x:c r="G148" s="2"/>
      <x:c r="H148" s="2"/>
      <x:c r="I148" s="2"/>
      <x:c r="J148" s="2"/>
      <x:c r="K148" s="2"/>
    </x:row>
    <x:row r="149">
      <x:c r="A149" s="2"/>
      <x:c r="B149" s="2"/>
      <x:c r="C149" s="2"/>
      <x:c r="D149" s="2"/>
      <x:c r="E149" s="2"/>
      <x:c r="F149" s="2"/>
      <x:c r="G149" s="2"/>
      <x:c r="H149" s="2"/>
      <x:c r="I149" s="2"/>
      <x:c r="J149" s="2"/>
      <x:c r="K149" s="2"/>
    </x:row>
    <x:row r="150">
      <x:c r="A150" s="2"/>
      <x:c r="B150" s="2"/>
      <x:c r="C150" s="2"/>
      <x:c r="D150" s="2"/>
      <x:c r="E150" s="2"/>
      <x:c r="F150" s="2"/>
      <x:c r="G150" s="2"/>
      <x:c r="H150" s="2"/>
      <x:c r="I150" s="2"/>
      <x:c r="J150" s="2"/>
      <x:c r="K150" s="2"/>
    </x:row>
    <x:row r="151">
      <x:c r="A151" s="2"/>
      <x:c r="B151" s="2"/>
      <x:c r="C151" s="2"/>
      <x:c r="D151" s="2"/>
      <x:c r="E151" s="2"/>
      <x:c r="F151" s="2"/>
      <x:c r="G151" s="2"/>
      <x:c r="H151" s="2"/>
      <x:c r="I151" s="2"/>
      <x:c r="J151" s="2"/>
      <x:c r="K151" s="2"/>
    </x:row>
    <x:row r="152">
      <x:c r="A152" s="2"/>
      <x:c r="B152" s="2"/>
      <x:c r="C152" s="2"/>
      <x:c r="D152" s="2"/>
      <x:c r="E152" s="2"/>
      <x:c r="F152" s="2"/>
      <x:c r="G152" s="2"/>
      <x:c r="H152" s="2"/>
      <x:c r="I152" s="2"/>
      <x:c r="J152" s="2"/>
      <x:c r="K152" s="2"/>
    </x:row>
    <x:row r="153">
      <x:c r="A153" s="2"/>
      <x:c r="B153" s="2"/>
      <x:c r="C153" s="2"/>
      <x:c r="D153" s="2"/>
      <x:c r="E153" s="2"/>
      <x:c r="F153" s="2"/>
      <x:c r="G153" s="2"/>
      <x:c r="H153" s="2"/>
      <x:c r="I153" s="2"/>
      <x:c r="J153" s="2"/>
      <x:c r="K153" s="2"/>
    </x:row>
    <x:row r="154">
      <x:c r="A154" s="2"/>
      <x:c r="B154" s="2"/>
      <x:c r="C154" s="2"/>
      <x:c r="D154" s="2"/>
      <x:c r="E154" s="2"/>
      <x:c r="F154" s="2"/>
      <x:c r="G154" s="2"/>
      <x:c r="H154" s="2"/>
      <x:c r="I154" s="2"/>
      <x:c r="J154" s="2"/>
      <x:c r="K154" s="2"/>
    </x:row>
    <x:row r="155">
      <x:c r="A155" s="2"/>
      <x:c r="B155" s="2"/>
      <x:c r="C155" s="2"/>
      <x:c r="D155" s="2"/>
      <x:c r="E155" s="2"/>
      <x:c r="F155" s="2"/>
      <x:c r="G155" s="2"/>
      <x:c r="H155" s="2"/>
      <x:c r="I155" s="2"/>
      <x:c r="J155" s="2"/>
      <x:c r="K155" s="2"/>
    </x:row>
    <x:row r="156">
      <x:c r="A156" s="2"/>
      <x:c r="B156" s="2"/>
      <x:c r="C156" s="2"/>
      <x:c r="D156" s="2"/>
      <x:c r="E156" s="2"/>
      <x:c r="F156" s="2"/>
      <x:c r="G156" s="2"/>
      <x:c r="H156" s="2"/>
      <x:c r="I156" s="2"/>
      <x:c r="J156" s="2"/>
      <x:c r="K156" s="2"/>
    </x:row>
    <x:row r="157">
      <x:c r="A157" s="2"/>
      <x:c r="B157" s="2"/>
      <x:c r="C157" s="2"/>
      <x:c r="D157" s="2"/>
      <x:c r="E157" s="2"/>
      <x:c r="F157" s="2"/>
      <x:c r="G157" s="2"/>
      <x:c r="H157" s="2"/>
      <x:c r="I157" s="2"/>
      <x:c r="J157" s="2"/>
      <x:c r="K157" s="2"/>
    </x:row>
    <x:row r="158">
      <x:c r="A158" s="2"/>
      <x:c r="B158" s="2"/>
      <x:c r="C158" s="2"/>
      <x:c r="D158" s="2"/>
      <x:c r="E158" s="2"/>
      <x:c r="F158" s="2"/>
      <x:c r="G158" s="2"/>
      <x:c r="H158" s="2"/>
      <x:c r="I158" s="2"/>
      <x:c r="J158" s="2"/>
      <x:c r="K158" s="2"/>
    </x:row>
    <x:row r="159">
      <x:c r="A159" s="2"/>
      <x:c r="B159" s="2"/>
      <x:c r="C159" s="2"/>
      <x:c r="D159" s="2"/>
      <x:c r="E159" s="2"/>
      <x:c r="F159" s="2"/>
      <x:c r="G159" s="2"/>
      <x:c r="H159" s="2"/>
      <x:c r="I159" s="2"/>
      <x:c r="J159" s="2"/>
      <x:c r="K159" s="2"/>
    </x:row>
    <x:row r="160">
      <x:c r="A160" s="2"/>
      <x:c r="B160" s="2"/>
      <x:c r="C160" s="2"/>
      <x:c r="D160" s="2"/>
      <x:c r="E160" s="2"/>
      <x:c r="F160" s="2"/>
      <x:c r="G160" s="2"/>
      <x:c r="H160" s="2"/>
      <x:c r="I160" s="2"/>
      <x:c r="J160" s="2"/>
      <x:c r="K160" s="2"/>
    </x:row>
    <x:row r="161">
      <x:c r="A161" s="2"/>
      <x:c r="B161" s="2"/>
      <x:c r="C161" s="2"/>
      <x:c r="D161" s="2"/>
      <x:c r="E161" s="2"/>
      <x:c r="F161" s="2"/>
      <x:c r="G161" s="2"/>
      <x:c r="H161" s="2"/>
      <x:c r="I161" s="2"/>
      <x:c r="J161" s="2"/>
      <x:c r="K161" s="2"/>
    </x:row>
    <x:row r="162">
      <x:c r="A162" s="2"/>
      <x:c r="B162" s="2"/>
      <x:c r="C162" s="2"/>
      <x:c r="D162" s="2"/>
      <x:c r="E162" s="2"/>
      <x:c r="F162" s="2"/>
      <x:c r="G162" s="2"/>
      <x:c r="H162" s="2"/>
      <x:c r="I162" s="2"/>
      <x:c r="J162" s="2"/>
      <x:c r="K162" s="2"/>
    </x:row>
    <x:row r="163">
      <x:c r="A163" s="2"/>
      <x:c r="B163" s="2"/>
      <x:c r="C163" s="2"/>
      <x:c r="D163" s="2"/>
      <x:c r="E163" s="2"/>
      <x:c r="F163" s="2"/>
      <x:c r="G163" s="2"/>
      <x:c r="H163" s="2"/>
      <x:c r="I163" s="2"/>
      <x:c r="J163" s="2"/>
      <x:c r="K163" s="2"/>
    </x:row>
    <x:row r="164">
      <x:c r="A164" s="2"/>
      <x:c r="B164" s="2"/>
      <x:c r="C164" s="2"/>
      <x:c r="D164" s="2"/>
      <x:c r="E164" s="2"/>
      <x:c r="F164" s="2"/>
      <x:c r="G164" s="2"/>
      <x:c r="H164" s="2"/>
      <x:c r="I164" s="2"/>
      <x:c r="J164" s="2"/>
      <x:c r="K164" s="2"/>
    </x:row>
    <x:row r="165">
      <x:c r="A165" s="2"/>
      <x:c r="B165" s="2"/>
      <x:c r="C165" s="2"/>
      <x:c r="D165" s="2"/>
      <x:c r="E165" s="2"/>
      <x:c r="F165" s="2"/>
      <x:c r="G165" s="2"/>
      <x:c r="H165" s="2"/>
      <x:c r="I165" s="2"/>
      <x:c r="J165" s="2"/>
      <x:c r="K165" s="2"/>
    </x:row>
    <x:row r="166">
      <x:c r="A166" s="2"/>
      <x:c r="B166" s="2"/>
      <x:c r="C166" s="2"/>
      <x:c r="D166" s="2"/>
      <x:c r="E166" s="2"/>
      <x:c r="F166" s="2"/>
      <x:c r="G166" s="2"/>
      <x:c r="H166" s="2"/>
      <x:c r="I166" s="2"/>
      <x:c r="J166" s="2"/>
      <x:c r="K166" s="2"/>
    </x:row>
    <x:row r="167">
      <x:c r="A167" s="2"/>
      <x:c r="B167" s="2"/>
      <x:c r="C167" s="2"/>
      <x:c r="D167" s="2"/>
      <x:c r="E167" s="2"/>
      <x:c r="F167" s="2"/>
      <x:c r="G167" s="2"/>
      <x:c r="H167" s="2"/>
      <x:c r="I167" s="2"/>
      <x:c r="J167" s="2"/>
      <x:c r="K167" s="2"/>
    </x:row>
    <x:row r="168">
      <x:c r="A168" s="2"/>
      <x:c r="B168" s="2"/>
      <x:c r="C168" s="2"/>
      <x:c r="D168" s="2"/>
      <x:c r="E168" s="2"/>
      <x:c r="F168" s="2"/>
      <x:c r="G168" s="2"/>
      <x:c r="H168" s="2"/>
      <x:c r="I168" s="2"/>
      <x:c r="J168" s="2"/>
      <x:c r="K168" s="2"/>
    </x:row>
    <x:row r="169">
      <x:c r="A169" s="2"/>
      <x:c r="B169" s="2"/>
      <x:c r="C169" s="2"/>
      <x:c r="D169" s="2"/>
      <x:c r="E169" s="2"/>
      <x:c r="F169" s="2"/>
      <x:c r="G169" s="2"/>
      <x:c r="H169" s="2"/>
      <x:c r="I169" s="2"/>
      <x:c r="J169" s="2"/>
      <x:c r="K169" s="2"/>
    </x:row>
    <x:row r="170">
      <x:c r="A170" s="2"/>
      <x:c r="B170" s="2"/>
      <x:c r="C170" s="2"/>
      <x:c r="D170" s="2"/>
      <x:c r="E170" s="2"/>
      <x:c r="F170" s="2"/>
      <x:c r="G170" s="2"/>
      <x:c r="H170" s="2"/>
      <x:c r="I170" s="2"/>
      <x:c r="J170" s="2"/>
      <x:c r="K170" s="2"/>
    </x:row>
    <x:row r="171">
      <x:c r="A171" s="2"/>
      <x:c r="B171" s="2"/>
      <x:c r="C171" s="2"/>
      <x:c r="D171" s="2"/>
      <x:c r="E171" s="2"/>
      <x:c r="F171" s="2"/>
      <x:c r="G171" s="2"/>
      <x:c r="H171" s="2"/>
      <x:c r="I171" s="2"/>
      <x:c r="J171" s="2"/>
      <x:c r="K171" s="2"/>
    </x:row>
    <x:row r="172">
      <x:c r="A172" s="2"/>
      <x:c r="B172" s="2"/>
      <x:c r="C172" s="2"/>
      <x:c r="D172" s="2"/>
      <x:c r="E172" s="2"/>
      <x:c r="F172" s="2"/>
      <x:c r="G172" s="2"/>
      <x:c r="H172" s="2"/>
      <x:c r="I172" s="2"/>
      <x:c r="J172" s="2"/>
      <x:c r="K172" s="2"/>
    </x:row>
    <x:row r="173">
      <x:c r="A173" s="2"/>
      <x:c r="B173" s="2"/>
      <x:c r="C173" s="2"/>
      <x:c r="D173" s="2"/>
      <x:c r="E173" s="2"/>
      <x:c r="F173" s="2"/>
      <x:c r="G173" s="2"/>
      <x:c r="H173" s="2"/>
      <x:c r="I173" s="2"/>
      <x:c r="J173" s="2"/>
      <x:c r="K173" s="2"/>
    </x:row>
    <x:row r="174">
      <x:c r="A174" s="2"/>
      <x:c r="B174" s="2"/>
      <x:c r="C174" s="2"/>
      <x:c r="D174" s="2"/>
      <x:c r="E174" s="2"/>
      <x:c r="F174" s="2"/>
      <x:c r="G174" s="2"/>
      <x:c r="H174" s="2"/>
      <x:c r="I174" s="2"/>
      <x:c r="J174" s="2"/>
      <x:c r="K174" s="2"/>
    </x:row>
    <x:row r="175">
      <x:c r="A175" s="2"/>
      <x:c r="B175" s="2"/>
      <x:c r="C175" s="2"/>
      <x:c r="D175" s="2"/>
      <x:c r="E175" s="2"/>
      <x:c r="F175" s="2"/>
      <x:c r="G175" s="2"/>
      <x:c r="H175" s="2"/>
      <x:c r="I175" s="2"/>
      <x:c r="J175" s="2"/>
      <x:c r="K175" s="2"/>
    </x:row>
    <x:row r="176">
      <x:c r="A176" s="2"/>
      <x:c r="B176" s="2"/>
      <x:c r="C176" s="2"/>
      <x:c r="D176" s="2"/>
      <x:c r="E176" s="2"/>
      <x:c r="F176" s="2"/>
      <x:c r="G176" s="2"/>
      <x:c r="H176" s="2"/>
      <x:c r="I176" s="2"/>
      <x:c r="J176" s="2"/>
      <x:c r="K176" s="2"/>
    </x:row>
    <x:row r="177">
      <x:c r="A177" s="2"/>
      <x:c r="B177" s="2"/>
      <x:c r="C177" s="2"/>
      <x:c r="D177" s="2"/>
      <x:c r="E177" s="2"/>
      <x:c r="F177" s="2"/>
      <x:c r="G177" s="2"/>
      <x:c r="H177" s="2"/>
      <x:c r="I177" s="2"/>
      <x:c r="J177" s="2"/>
      <x:c r="K177" s="2"/>
    </x:row>
    <x:row r="178">
      <x:c r="A178" s="2"/>
      <x:c r="B178" s="2"/>
      <x:c r="C178" s="2"/>
      <x:c r="D178" s="2"/>
      <x:c r="E178" s="2"/>
      <x:c r="F178" s="2"/>
      <x:c r="G178" s="2"/>
      <x:c r="H178" s="2"/>
      <x:c r="I178" s="2"/>
      <x:c r="J178" s="2"/>
      <x:c r="K178" s="2"/>
    </x:row>
    <x:row r="179">
      <x:c r="A179" s="2"/>
      <x:c r="B179" s="2"/>
      <x:c r="C179" s="2"/>
      <x:c r="D179" s="2"/>
      <x:c r="E179" s="2"/>
      <x:c r="F179" s="2"/>
      <x:c r="G179" s="2"/>
      <x:c r="H179" s="2"/>
      <x:c r="I179" s="2"/>
      <x:c r="J179" s="2"/>
      <x:c r="K179" s="2"/>
    </x:row>
    <x:row r="180">
      <x:c r="A180" s="2"/>
      <x:c r="B180" s="2"/>
      <x:c r="C180" s="2"/>
      <x:c r="D180" s="2"/>
      <x:c r="E180" s="2"/>
      <x:c r="F180" s="2"/>
      <x:c r="G180" s="2"/>
      <x:c r="H180" s="2"/>
      <x:c r="I180" s="2"/>
      <x:c r="J180" s="2"/>
      <x:c r="K180" s="2"/>
    </x:row>
    <x:row r="181">
      <x:c r="A181" s="2"/>
      <x:c r="B181" s="2"/>
      <x:c r="C181" s="2"/>
      <x:c r="D181" s="2"/>
      <x:c r="E181" s="2"/>
      <x:c r="F181" s="2"/>
      <x:c r="G181" s="2"/>
      <x:c r="H181" s="2"/>
      <x:c r="I181" s="2"/>
      <x:c r="J181" s="2"/>
      <x:c r="K181" s="2"/>
    </x:row>
    <x:row r="182">
      <x:c r="A182" s="2"/>
      <x:c r="B182" s="2"/>
      <x:c r="C182" s="2"/>
      <x:c r="D182" s="2"/>
      <x:c r="E182" s="2"/>
      <x:c r="F182" s="2"/>
      <x:c r="G182" s="2"/>
      <x:c r="H182" s="2"/>
      <x:c r="I182" s="2"/>
      <x:c r="J182" s="2"/>
      <x:c r="K182" s="2"/>
    </x:row>
    <x:row r="183">
      <x:c r="A183" s="2"/>
      <x:c r="B183" s="2"/>
      <x:c r="C183" s="2"/>
      <x:c r="D183" s="2"/>
      <x:c r="E183" s="2"/>
      <x:c r="F183" s="2"/>
      <x:c r="G183" s="2"/>
      <x:c r="H183" s="2"/>
      <x:c r="I183" s="2"/>
      <x:c r="J183" s="2"/>
      <x:c r="K183" s="2"/>
    </x:row>
    <x:row r="184">
      <x:c r="A184" s="2"/>
      <x:c r="B184" s="2"/>
      <x:c r="C184" s="2"/>
      <x:c r="D184" s="2"/>
      <x:c r="E184" s="2"/>
      <x:c r="F184" s="2"/>
      <x:c r="G184" s="2"/>
      <x:c r="H184" s="2"/>
      <x:c r="I184" s="2"/>
      <x:c r="J184" s="2"/>
      <x:c r="K184" s="2"/>
    </x:row>
    <x:row r="185">
      <x:c r="A185" s="2"/>
      <x:c r="B185" s="2"/>
      <x:c r="C185" s="2"/>
      <x:c r="D185" s="2"/>
      <x:c r="E185" s="2"/>
      <x:c r="F185" s="2"/>
      <x:c r="G185" s="2"/>
      <x:c r="H185" s="2"/>
      <x:c r="I185" s="2"/>
      <x:c r="J185" s="2"/>
      <x:c r="K185" s="2"/>
    </x:row>
    <x:row r="186">
      <x:c r="A186" s="2"/>
      <x:c r="B186" s="2"/>
      <x:c r="C186" s="2"/>
      <x:c r="D186" s="2"/>
      <x:c r="E186" s="2"/>
      <x:c r="F186" s="2"/>
      <x:c r="G186" s="2"/>
      <x:c r="H186" s="2"/>
      <x:c r="I186" s="2"/>
      <x:c r="J186" s="2"/>
      <x:c r="K186" s="2"/>
    </x:row>
    <x:row r="187">
      <x:c r="A187" s="2"/>
      <x:c r="B187" s="2"/>
      <x:c r="C187" s="2"/>
      <x:c r="D187" s="2"/>
      <x:c r="E187" s="2"/>
      <x:c r="F187" s="2"/>
      <x:c r="G187" s="2"/>
      <x:c r="H187" s="2"/>
      <x:c r="I187" s="2"/>
      <x:c r="J187" s="2"/>
      <x:c r="K187" s="2"/>
    </x:row>
    <x:row r="188">
      <x:c r="A188" s="2"/>
      <x:c r="B188" s="2"/>
      <x:c r="C188" s="2"/>
      <x:c r="D188" s="2"/>
      <x:c r="E188" s="2"/>
      <x:c r="F188" s="2"/>
      <x:c r="G188" s="2"/>
      <x:c r="H188" s="2"/>
      <x:c r="I188" s="2"/>
      <x:c r="J188" s="2"/>
      <x:c r="K188" s="2"/>
    </x:row>
    <x:row r="189">
      <x:c r="A189" s="2"/>
      <x:c r="B189" s="2"/>
      <x:c r="C189" s="2"/>
      <x:c r="D189" s="2"/>
      <x:c r="E189" s="2"/>
      <x:c r="F189" s="2"/>
      <x:c r="G189" s="2"/>
      <x:c r="H189" s="2"/>
      <x:c r="I189" s="2"/>
      <x:c r="J189" s="2"/>
      <x:c r="K189" s="2"/>
    </x:row>
    <x:row r="190">
      <x:c r="A190" s="2"/>
      <x:c r="B190" s="2"/>
      <x:c r="C190" s="2"/>
      <x:c r="D190" s="2"/>
      <x:c r="E190" s="2"/>
      <x:c r="F190" s="2"/>
      <x:c r="G190" s="2"/>
      <x:c r="H190" s="2"/>
      <x:c r="I190" s="2"/>
      <x:c r="J190" s="2"/>
      <x:c r="K190" s="2"/>
    </x:row>
    <x:row r="191">
      <x:c r="A191" s="2"/>
      <x:c r="B191" s="2"/>
      <x:c r="C191" s="2"/>
      <x:c r="D191" s="2"/>
      <x:c r="E191" s="2"/>
      <x:c r="F191" s="2"/>
      <x:c r="G191" s="2"/>
      <x:c r="H191" s="2"/>
      <x:c r="I191" s="2"/>
      <x:c r="J191" s="2"/>
      <x:c r="K191" s="2"/>
    </x:row>
    <x:row r="192">
      <x:c r="A192" s="2"/>
      <x:c r="B192" s="2"/>
      <x:c r="C192" s="2"/>
      <x:c r="D192" s="2"/>
      <x:c r="E192" s="2"/>
      <x:c r="F192" s="2"/>
      <x:c r="G192" s="2"/>
      <x:c r="H192" s="2"/>
      <x:c r="I192" s="2"/>
      <x:c r="J192" s="2"/>
      <x:c r="K192" s="2"/>
    </x:row>
    <x:row r="193">
      <x:c r="A193" s="2"/>
      <x:c r="B193" s="2"/>
      <x:c r="C193" s="2"/>
      <x:c r="D193" s="2"/>
      <x:c r="E193" s="2"/>
      <x:c r="F193" s="2"/>
      <x:c r="G193" s="2"/>
      <x:c r="H193" s="2"/>
      <x:c r="I193" s="2"/>
      <x:c r="J193" s="2"/>
      <x:c r="K193" s="2"/>
    </x:row>
    <x:row r="194">
      <x:c r="A194" s="2"/>
      <x:c r="B194" s="2"/>
      <x:c r="C194" s="2"/>
      <x:c r="D194" s="2"/>
      <x:c r="E194" s="2"/>
      <x:c r="F194" s="2"/>
      <x:c r="G194" s="2"/>
      <x:c r="H194" s="2"/>
      <x:c r="I194" s="2"/>
      <x:c r="J194" s="2"/>
      <x:c r="K194" s="2"/>
    </x:row>
    <x:row r="195">
      <x:c r="A195" s="2"/>
      <x:c r="B195" s="2"/>
      <x:c r="C195" s="2"/>
      <x:c r="D195" s="2"/>
      <x:c r="E195" s="2"/>
      <x:c r="F195" s="2"/>
      <x:c r="G195" s="2"/>
      <x:c r="H195" s="2"/>
      <x:c r="I195" s="2"/>
      <x:c r="J195" s="2"/>
      <x:c r="K195" s="2"/>
    </x:row>
    <x:row r="196">
      <x:c r="A196" s="2"/>
      <x:c r="B196" s="2"/>
      <x:c r="C196" s="2"/>
      <x:c r="D196" s="2"/>
      <x:c r="E196" s="2"/>
      <x:c r="F196" s="2"/>
      <x:c r="G196" s="2"/>
      <x:c r="H196" s="2"/>
      <x:c r="I196" s="2"/>
      <x:c r="J196" s="2"/>
      <x:c r="K196" s="2"/>
    </x:row>
    <x:row r="197">
      <x:c r="A197" s="2"/>
      <x:c r="B197" s="2"/>
      <x:c r="C197" s="2"/>
      <x:c r="D197" s="2"/>
      <x:c r="E197" s="2"/>
      <x:c r="F197" s="2"/>
      <x:c r="G197" s="2"/>
      <x:c r="H197" s="2"/>
      <x:c r="I197" s="2"/>
      <x:c r="J197" s="2"/>
      <x:c r="K197" s="2"/>
    </x:row>
    <x:row r="198">
      <x:c r="A198" s="2"/>
      <x:c r="B198" s="2"/>
      <x:c r="C198" s="2"/>
      <x:c r="D198" s="2"/>
      <x:c r="E198" s="2"/>
      <x:c r="F198" s="2"/>
      <x:c r="G198" s="2"/>
      <x:c r="H198" s="2"/>
      <x:c r="I198" s="2"/>
      <x:c r="J198" s="2"/>
      <x:c r="K198" s="2"/>
    </x:row>
    <x:row r="199">
      <x:c r="A199" s="2"/>
      <x:c r="B199" s="2"/>
      <x:c r="C199" s="2"/>
      <x:c r="D199" s="2"/>
      <x:c r="E199" s="2"/>
      <x:c r="F199" s="2"/>
      <x:c r="G199" s="2"/>
      <x:c r="H199" s="2"/>
      <x:c r="I199" s="2"/>
      <x:c r="J199" s="2"/>
      <x:c r="K199" s="2"/>
    </x:row>
    <x:row r="200">
      <x:c r="A200" s="2"/>
      <x:c r="B200" s="2"/>
      <x:c r="C200" s="2"/>
      <x:c r="D200" s="2"/>
      <x:c r="E200" s="2"/>
      <x:c r="F200" s="2"/>
      <x:c r="G200" s="2"/>
      <x:c r="H200" s="2"/>
      <x:c r="I200" s="2"/>
      <x:c r="J200" s="2"/>
      <x:c r="K200" s="2"/>
    </x:row>
    <x:row r="201">
      <x:c r="A201" s="2"/>
      <x:c r="B201" s="2"/>
      <x:c r="C201" s="2"/>
      <x:c r="D201" s="2"/>
      <x:c r="E201" s="2"/>
      <x:c r="F201" s="2"/>
      <x:c r="G201" s="2"/>
      <x:c r="H201" s="2"/>
      <x:c r="I201" s="2"/>
      <x:c r="J201" s="2"/>
      <x:c r="K201" s="2"/>
    </x:row>
    <x:row r="202">
      <x:c r="A202" s="2"/>
      <x:c r="B202" s="2"/>
      <x:c r="C202" s="2"/>
      <x:c r="D202" s="2"/>
      <x:c r="E202" s="2"/>
      <x:c r="F202" s="2"/>
      <x:c r="G202" s="2"/>
      <x:c r="H202" s="2"/>
      <x:c r="I202" s="2"/>
      <x:c r="J202" s="2"/>
      <x:c r="K202" s="2"/>
    </x:row>
    <x:row r="203">
      <x:c r="A203" s="2"/>
      <x:c r="B203" s="2"/>
      <x:c r="C203" s="2"/>
      <x:c r="D203" s="2"/>
      <x:c r="E203" s="2"/>
      <x:c r="F203" s="2"/>
      <x:c r="G203" s="2"/>
      <x:c r="H203" s="2"/>
      <x:c r="I203" s="2"/>
      <x:c r="J203" s="2"/>
      <x:c r="K203" s="2"/>
    </x:row>
    <x:row r="204">
      <x:c r="A204" s="2"/>
      <x:c r="B204" s="2"/>
      <x:c r="C204" s="2"/>
      <x:c r="D204" s="2"/>
      <x:c r="E204" s="2"/>
      <x:c r="F204" s="2"/>
      <x:c r="G204" s="2"/>
      <x:c r="H204" s="2"/>
      <x:c r="I204" s="2"/>
      <x:c r="J204" s="2"/>
      <x:c r="K204" s="2"/>
    </x:row>
    <x:row r="205">
      <x:c r="A205" s="2"/>
      <x:c r="B205" s="2"/>
      <x:c r="C205" s="2"/>
      <x:c r="D205" s="2"/>
      <x:c r="E205" s="2"/>
      <x:c r="F205" s="2"/>
      <x:c r="G205" s="2"/>
      <x:c r="H205" s="2"/>
      <x:c r="I205" s="2"/>
      <x:c r="J205" s="2"/>
      <x:c r="K205" s="2"/>
    </x:row>
    <x:row r="206">
      <x:c r="A206" s="2"/>
      <x:c r="B206" s="2"/>
      <x:c r="C206" s="2"/>
      <x:c r="D206" s="2"/>
      <x:c r="E206" s="2"/>
      <x:c r="F206" s="2"/>
      <x:c r="G206" s="2"/>
      <x:c r="H206" s="2"/>
      <x:c r="I206" s="2"/>
      <x:c r="J206" s="2"/>
      <x:c r="K206" s="2"/>
    </x:row>
    <x:row r="207">
      <x:c r="A207" s="2"/>
      <x:c r="B207" s="2"/>
      <x:c r="C207" s="2"/>
      <x:c r="D207" s="2"/>
      <x:c r="E207" s="2"/>
      <x:c r="F207" s="2"/>
      <x:c r="G207" s="2"/>
      <x:c r="H207" s="2"/>
      <x:c r="I207" s="2"/>
      <x:c r="J207" s="2"/>
      <x:c r="K207" s="2"/>
    </x:row>
    <x:row r="208">
      <x:c r="A208" s="2"/>
      <x:c r="B208" s="2"/>
      <x:c r="C208" s="2"/>
      <x:c r="D208" s="2"/>
      <x:c r="E208" s="2"/>
      <x:c r="F208" s="2"/>
      <x:c r="G208" s="2"/>
      <x:c r="H208" s="2"/>
      <x:c r="I208" s="2"/>
      <x:c r="J208" s="2"/>
      <x:c r="K208" s="2"/>
    </x:row>
    <x:row r="209">
      <x:c r="A209" s="2"/>
      <x:c r="B209" s="2"/>
      <x:c r="C209" s="2"/>
      <x:c r="D209" s="2"/>
      <x:c r="E209" s="2"/>
      <x:c r="F209" s="2"/>
      <x:c r="G209" s="2"/>
      <x:c r="H209" s="2"/>
      <x:c r="I209" s="2"/>
      <x:c r="J209" s="2"/>
      <x:c r="K209" s="2"/>
    </x:row>
    <x:row r="210">
      <x:c r="A210" s="2"/>
      <x:c r="B210" s="2"/>
      <x:c r="C210" s="2"/>
      <x:c r="D210" s="2"/>
      <x:c r="E210" s="2"/>
      <x:c r="F210" s="2"/>
      <x:c r="G210" s="2"/>
      <x:c r="H210" s="2"/>
      <x:c r="I210" s="2"/>
      <x:c r="J210" s="2"/>
      <x:c r="K210" s="2"/>
    </x:row>
    <x:row r="211">
      <x:c r="A211" s="2"/>
      <x:c r="B211" s="2"/>
      <x:c r="C211" s="2"/>
      <x:c r="D211" s="2"/>
      <x:c r="E211" s="2"/>
      <x:c r="F211" s="2"/>
      <x:c r="G211" s="2"/>
      <x:c r="H211" s="2"/>
      <x:c r="I211" s="2"/>
      <x:c r="J211" s="2"/>
      <x:c r="K211" s="2"/>
    </x:row>
    <x:row r="212">
      <x:c r="A212" s="2"/>
      <x:c r="B212" s="2"/>
      <x:c r="C212" s="2"/>
      <x:c r="D212" s="2"/>
      <x:c r="E212" s="2"/>
      <x:c r="F212" s="2"/>
      <x:c r="G212" s="2"/>
      <x:c r="H212" s="2"/>
      <x:c r="I212" s="2"/>
      <x:c r="J212" s="2"/>
      <x:c r="K212" s="2"/>
    </x:row>
    <x:row r="213">
      <x:c r="A213" s="2"/>
      <x:c r="B213" s="2"/>
      <x:c r="C213" s="2"/>
      <x:c r="D213" s="2"/>
      <x:c r="E213" s="2"/>
      <x:c r="F213" s="2"/>
      <x:c r="G213" s="2"/>
      <x:c r="H213" s="2"/>
      <x:c r="I213" s="2"/>
      <x:c r="J213" s="2"/>
      <x:c r="K213" s="2"/>
    </x:row>
    <x:row r="214">
      <x:c r="A214" s="2"/>
      <x:c r="B214" s="2"/>
      <x:c r="C214" s="2"/>
      <x:c r="D214" s="2"/>
      <x:c r="E214" s="2"/>
      <x:c r="F214" s="2"/>
      <x:c r="G214" s="2"/>
      <x:c r="H214" s="2"/>
      <x:c r="I214" s="2"/>
      <x:c r="J214" s="2"/>
      <x:c r="K214" s="2"/>
    </x:row>
    <x:row r="215">
      <x:c r="A215" s="2"/>
      <x:c r="B215" s="2"/>
      <x:c r="C215" s="2"/>
      <x:c r="D215" s="2"/>
      <x:c r="E215" s="2"/>
      <x:c r="F215" s="2"/>
      <x:c r="G215" s="2"/>
      <x:c r="H215" s="2"/>
      <x:c r="I215" s="2"/>
      <x:c r="J215" s="2"/>
      <x:c r="K215" s="2"/>
    </x:row>
    <x:row r="216">
      <x:c r="A216" s="2"/>
      <x:c r="B216" s="2"/>
      <x:c r="C216" s="2"/>
      <x:c r="D216" s="2"/>
      <x:c r="E216" s="2"/>
      <x:c r="F216" s="2"/>
      <x:c r="G216" s="2"/>
      <x:c r="H216" s="2"/>
      <x:c r="I216" s="2"/>
      <x:c r="J216" s="2"/>
      <x:c r="K216" s="2"/>
    </x:row>
    <x:row r="217">
      <x:c r="A217" s="2"/>
      <x:c r="B217" s="2"/>
      <x:c r="C217" s="2"/>
      <x:c r="D217" s="2"/>
      <x:c r="E217" s="2"/>
      <x:c r="F217" s="2"/>
      <x:c r="G217" s="2"/>
      <x:c r="H217" s="2"/>
      <x:c r="I217" s="2"/>
      <x:c r="J217" s="2"/>
      <x:c r="K217" s="2"/>
    </x:row>
    <x:row r="218">
      <x:c r="A218" s="2"/>
      <x:c r="B218" s="2"/>
      <x:c r="C218" s="2"/>
      <x:c r="D218" s="2"/>
      <x:c r="E218" s="2"/>
      <x:c r="F218" s="2"/>
      <x:c r="G218" s="2"/>
      <x:c r="H218" s="2"/>
      <x:c r="I218" s="2"/>
      <x:c r="J218" s="2"/>
      <x:c r="K218" s="2"/>
    </x:row>
    <x:row r="219">
      <x:c r="A219" s="2"/>
      <x:c r="B219" s="2"/>
      <x:c r="C219" s="2"/>
      <x:c r="D219" s="2"/>
      <x:c r="E219" s="2"/>
      <x:c r="F219" s="2"/>
      <x:c r="G219" s="2"/>
      <x:c r="H219" s="2"/>
      <x:c r="I219" s="2"/>
      <x:c r="J219" s="2"/>
      <x:c r="K219" s="2"/>
    </x:row>
    <x:row r="220">
      <x:c r="A220" s="2"/>
      <x:c r="B220" s="2"/>
      <x:c r="C220" s="2"/>
      <x:c r="D220" s="2"/>
      <x:c r="E220" s="2"/>
      <x:c r="F220" s="2"/>
      <x:c r="G220" s="2"/>
      <x:c r="H220" s="2"/>
      <x:c r="I220" s="2"/>
      <x:c r="J220" s="2"/>
      <x:c r="K220" s="2"/>
    </x:row>
  </x:sheetData>
  <x:mergeCells>
    <x:mergeCell ref="A1:H1"/>
    <x:mergeCell ref="A2:H2"/>
    <x:mergeCell ref="A4:E4"/>
    <x:mergeCell ref="F4:H4"/>
    <x:mergeCell ref="A6:E6"/>
    <x:mergeCell ref="F6:H6"/>
    <x:mergeCell ref="A7:E7"/>
    <x:mergeCell ref="F7:H7"/>
    <x:mergeCell ref="A8:E8"/>
    <x:mergeCell ref="F8:H8"/>
    <x:mergeCell ref="A10:H12"/>
    <x:mergeCell ref="A14:E14"/>
    <x:mergeCell ref="F14:H14"/>
    <x:mergeCell ref="A16:E16"/>
    <x:mergeCell ref="F16:H16"/>
    <x:mergeCell ref="A17:E17"/>
    <x:mergeCell ref="F17:H17"/>
    <x:mergeCell ref="A18:E18"/>
    <x:mergeCell ref="F18:H18"/>
    <x:mergeCell ref="A19:E19"/>
    <x:mergeCell ref="F19:H19"/>
    <x:mergeCell ref="A20:E20"/>
    <x:mergeCell ref="F20:H20"/>
    <x:mergeCell ref="A21:E21"/>
    <x:mergeCell ref="F21:H21"/>
    <x:mergeCell ref="A22:E22"/>
    <x:mergeCell ref="F22:H22"/>
    <x:mergeCell ref="A23:E23"/>
    <x:mergeCell ref="F23:H23"/>
    <x:mergeCell ref="A24:E24"/>
    <x:mergeCell ref="F24:H24"/>
    <x:mergeCell ref="A29:H31"/>
    <x:mergeCell ref="A33:H33"/>
    <x:mergeCell ref="A34:B34"/>
    <x:mergeCell ref="E34:H34"/>
    <x:mergeCell ref="A35:B35"/>
    <x:mergeCell ref="E35:H35"/>
    <x:mergeCell ref="A36:B36"/>
    <x:mergeCell ref="E36:H36"/>
    <x:mergeCell ref="A37:B37"/>
    <x:mergeCell ref="E37:H37"/>
    <x:mergeCell ref="A38:B38"/>
    <x:mergeCell ref="E38:H38"/>
    <x:mergeCell ref="A39:B39"/>
    <x:mergeCell ref="E39:H39"/>
    <x:mergeCell ref="A40:B40"/>
    <x:mergeCell ref="E40:H40"/>
    <x:mergeCell ref="A41:B41"/>
    <x:mergeCell ref="E41:H41"/>
    <x:mergeCell ref="A42:B42"/>
    <x:mergeCell ref="E42:H42"/>
    <x:mergeCell ref="A43:B43"/>
    <x:mergeCell ref="E43:H43"/>
    <x:mergeCell ref="A44:B44"/>
    <x:mergeCell ref="E44:H44"/>
    <x:mergeCell ref="A45:B45"/>
    <x:mergeCell ref="E45:H45"/>
    <x:mergeCell ref="A46:B46"/>
    <x:mergeCell ref="E46:H46"/>
    <x:mergeCell ref="A47:B47"/>
    <x:mergeCell ref="E47:H47"/>
    <x:mergeCell ref="A48:B48"/>
    <x:mergeCell ref="E48:H48"/>
    <x:mergeCell ref="A49:B49"/>
    <x:mergeCell ref="E49:H49"/>
    <x:mergeCell ref="A50:B50"/>
    <x:mergeCell ref="E50:H50"/>
    <x:mergeCell ref="A51:B51"/>
    <x:mergeCell ref="E51:H51"/>
    <x:mergeCell ref="A52:B52"/>
    <x:mergeCell ref="E52:H52"/>
    <x:mergeCell ref="A53:B53"/>
    <x:mergeCell ref="E53:H53"/>
    <x:mergeCell ref="A54:B54"/>
    <x:mergeCell ref="E54:H54"/>
    <x:mergeCell ref="A55:B55"/>
    <x:mergeCell ref="E55:H55"/>
    <x:mergeCell ref="A56:B56"/>
    <x:mergeCell ref="E56:H56"/>
    <x:mergeCell ref="A57:B57"/>
    <x:mergeCell ref="E57:H57"/>
    <x:mergeCell ref="A59:H6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2.5" hidden="0" customWidth="1"/>
    <x:col min="2" max="2" width="18.1299991607666" hidden="0" customWidth="1"/>
    <x:col min="3" max="3" width="47.5" hidden="0" customWidth="1"/>
    <x:col min="4" max="4" width="8.130000114440918" hidden="0" customWidth="1"/>
    <x:col min="5" max="5" width="11.25" hidden="0" customWidth="1"/>
    <x:col min="6" max="6" width="11.880000114440918" hidden="0" customWidth="1"/>
    <x:col min="7" max="7" width="12.5" hidden="0" customWidth="1"/>
    <x:col min="8" max="8" width="20.6299991607666" hidden="0" customWidth="1"/>
    <x:col min="9" max="9" width="42.5" hidden="0" customWidth="1"/>
    <x:col min="10" max="10" width="73.75" hidden="0" customWidth="1"/>
  </x:cols>
  <x:sheetData>
    <x:row r="1" ht="40" customHeight="1">
      <x:c r="A1" s="5" t="str">
        <x:v>RevE | Source-backed prices</x:v>
      </x:c>
      <x:c r="B1" s="4"/>
      <x:c r="C1" s="4"/>
      <x:c r="D1" s="4"/>
      <x:c r="E1" s="4"/>
      <x:c r="F1" s="4"/>
      <x:c r="G1" s="4"/>
      <x:c r="H1" s="4"/>
      <x:c r="I1" s="4"/>
      <x:c r="J1" s="4"/>
      <x:c r="K1" s="2"/>
    </x:row>
    <x:row r="2" ht="28" customHeight="1">
      <x:c r="A2" s="2" t="str">
        <x:v>USD • recorded 24 September 2026 • prices are not a manufacturing release</x:v>
      </x:c>
      <x:c r="B2" s="2"/>
      <x:c r="C2" s="2"/>
      <x:c r="D2" s="2"/>
      <x:c r="E2" s="2"/>
      <x:c r="F2" s="2"/>
      <x:c r="G2" s="2"/>
      <x:c r="H2" s="2"/>
      <x:c r="I2" s="2"/>
      <x:c r="J2" s="2"/>
      <x:c r="K2" s="2"/>
    </x:row>
    <x:row r="3" ht="26" customHeight="1">
      <x:c r="A3" s="6" t="str">
        <x:v>Every row has a source price. Vendor shipping is counted once on Cost status. Remaining fit, stock and electrical checks are in column J. Required unpriced items and unadopted alternatives are excluded from this subtotal.</x:v>
      </x:c>
      <x:c r="B3" s="6"/>
      <x:c r="C3" s="6"/>
      <x:c r="D3" s="6"/>
      <x:c r="E3" s="6"/>
      <x:c r="F3" s="6"/>
      <x:c r="G3" s="6"/>
      <x:c r="H3" s="6"/>
      <x:c r="I3" s="6"/>
      <x:c r="J3" s="6"/>
      <x:c r="K3" s="2"/>
    </x:row>
    <x:row r="4" ht="26" customHeight="1">
      <x:c r="A4" s="6"/>
      <x:c r="B4" s="6"/>
      <x:c r="C4" s="6"/>
      <x:c r="D4" s="6"/>
      <x:c r="E4" s="6"/>
      <x:c r="F4" s="6"/>
      <x:c r="G4" s="6"/>
      <x:c r="H4" s="6"/>
      <x:c r="I4" s="6"/>
      <x:c r="J4" s="6"/>
      <x:c r="K4" s="2"/>
    </x:row>
    <x:row r="5">
      <x:c r="A5" s="2"/>
      <x:c r="B5" s="2"/>
      <x:c r="C5" s="2"/>
      <x:c r="D5" s="2"/>
      <x:c r="E5" s="2"/>
      <x:c r="F5" s="2"/>
      <x:c r="G5" s="2"/>
      <x:c r="H5" s="2"/>
      <x:c r="I5" s="2"/>
      <x:c r="J5" s="2"/>
      <x:c r="K5" s="2"/>
    </x:row>
    <x:row r="6" ht="36" customHeight="1">
      <x:c r="A6" s="7" t="str">
        <x:v>ID</x:v>
      </x:c>
      <x:c r="B6" s="7" t="str">
        <x:v>Category</x:v>
      </x:c>
      <x:c r="C6" s="7" t="str">
        <x:v>Exact item / stock</x:v>
      </x:c>
      <x:c r="D6" s="7" t="str">
        <x:v>Buy qty</x:v>
      </x:c>
      <x:c r="E6" s="7" t="str">
        <x:v>Unit</x:v>
      </x:c>
      <x:c r="F6" s="7" t="str">
        <x:v>Unit USD</x:v>
      </x:c>
      <x:c r="G6" s="7" t="str">
        <x:v>Goods USD</x:v>
      </x:c>
      <x:c r="H6" s="7" t="str">
        <x:v>Vendor</x:v>
      </x:c>
      <x:c r="I6" s="7" t="str">
        <x:v>Source</x:v>
      </x:c>
      <x:c r="J6" s="7" t="str">
        <x:v>Fit / availability / scope</x:v>
      </x:c>
      <x:c r="K6" s="2"/>
    </x:row>
    <x:row r="7" ht="78" customHeight="1">
      <x:c r="A7" s="6" t="str">
        <x:v>M01</x:v>
      </x:c>
      <x:c r="B7" s="6" t="str">
        <x:v>Motion</x:v>
      </x:c>
      <x:c r="C7" s="6" t="str">
        <x:v>KHMOS HMS40 X module, 800 mm stroke</x:v>
      </x:c>
      <x:c r="D7" s="10" t="n">
        <x:v>1</x:v>
      </x:c>
      <x:c r="E7" s="10" t="str">
        <x:v>each</x:v>
      </x:c>
      <x:c r="F7" s="11" t="n">
        <x:v>236</x:v>
      </x:c>
      <x:c r="G7" s="8" t="n">
        <x:f>ROUND(D7*F7,2)</x:f>
        <x:v>236</x:v>
      </x:c>
      <x:c r="H7" s="6" t="str">
        <x:v>Amazon</x:v>
      </x:c>
      <x:c r="I7" s="6" t="str">
        <x:v>https://www.amazon.com/dp/B0C7GQTRRX</x:v>
      </x:c>
      <x:c r="J7" s="6" t="str">
        <x:v>800mm variant; two left; advertised free delivery September29. Motor and mounting interface holds remain.</x:v>
      </x:c>
      <x:c r="K7" s="2"/>
    </x:row>
    <x:row r="8" ht="78" customHeight="1">
      <x:c r="A8" s="6" t="str">
        <x:v>M02</x:v>
      </x:c>
      <x:c r="B8" s="6" t="str">
        <x:v>Motion</x:v>
      </x:c>
      <x:c r="C8" s="6" t="str">
        <x:v>KHMOS HMS40 Y module, 1000 mm stroke</x:v>
      </x:c>
      <x:c r="D8" s="10" t="n">
        <x:v>2</x:v>
      </x:c>
      <x:c r="E8" s="10" t="str">
        <x:v>each</x:v>
      </x:c>
      <x:c r="F8" s="11" t="n">
        <x:v>260</x:v>
      </x:c>
      <x:c r="G8" s="8" t="n">
        <x:f>ROUND(D8*F8,2)</x:f>
        <x:v>520</x:v>
      </x:c>
      <x:c r="H8" s="6" t="str">
        <x:v>Amazon</x:v>
      </x:c>
      <x:c r="I8" s="6" t="str">
        <x:v>https://www.amazon.com/dp/B0C7GN24S1</x:v>
      </x:c>
      <x:c r="J8" s="6" t="str">
        <x:v>1000mm variant; four left; advertised free delivery September29. Quantity is two.</x:v>
      </x:c>
      <x:c r="K8" s="2"/>
    </x:row>
    <x:row r="9" ht="78" customHeight="1">
      <x:c r="A9" s="6" t="str">
        <x:v>M03</x:v>
      </x:c>
      <x:c r="B9" s="6" t="str">
        <x:v>Motion</x:v>
      </x:c>
      <x:c r="C9" s="6" t="str">
        <x:v>RATTMMOTOR ZBX80 Z module, 100 mm stroke</x:v>
      </x:c>
      <x:c r="D9" s="10" t="n">
        <x:v>1</x:v>
      </x:c>
      <x:c r="E9" s="10" t="str">
        <x:v>each</x:v>
      </x:c>
      <x:c r="F9" s="11" t="n">
        <x:v>112</x:v>
      </x:c>
      <x:c r="G9" s="8" t="n">
        <x:f>ROUND(D9*F9,2)</x:f>
        <x:v>112</x:v>
      </x:c>
      <x:c r="H9" s="6" t="str">
        <x:v>Amazon</x:v>
      </x:c>
      <x:c r="I9" s="6" t="str">
        <x:v>https://www.amazon.com/dp/B09MVYGLNQ</x:v>
      </x:c>
      <x:c r="J9" s="6" t="str">
        <x:v>In stock; shipsAmazon/sellerKukuTech; advertised free delivery September29. Secondary105dollar offer not qualified or counted. No coupon assumed.</x:v>
      </x:c>
      <x:c r="K9" s="2"/>
    </x:row>
    <x:row r="10" ht="78" customHeight="1">
      <x:c r="A10" s="6" t="str">
        <x:v>M04</x:v>
      </x:c>
      <x:c r="B10" s="6" t="str">
        <x:v>Motion</x:v>
      </x:c>
      <x:c r="C10" s="6" t="str">
        <x:v>iMetrx HGR20 kit, two 1500 mm rails and four HGH20CA blocks</x:v>
      </x:c>
      <x:c r="D10" s="10" t="n">
        <x:v>1</x:v>
      </x:c>
      <x:c r="E10" s="10" t="str">
        <x:v>each</x:v>
      </x:c>
      <x:c r="F10" s="11" t="n">
        <x:v>109.99</x:v>
      </x:c>
      <x:c r="G10" s="8" t="n">
        <x:f>ROUND(D10*F10,2)</x:f>
        <x:v>109.99</x:v>
      </x:c>
      <x:c r="H10" s="6" t="str">
        <x:v>Amazon</x:v>
      </x:c>
      <x:c r="I10" s="6" t="str">
        <x:v>https://www.amazon.com/dp/B0FFMMPC3B</x:v>
      </x:c>
      <x:c r="J10" s="6" t="str">
        <x:v>In stock; advertised free delivery September29. Actual rail hole pitch/end distance still requires supplier clarification.</x:v>
      </x:c>
      <x:c r="K10" s="2"/>
    </x:row>
    <x:row r="11" ht="78" customHeight="1">
      <x:c r="A11" s="6" t="str">
        <x:v>M05</x:v>
      </x:c>
      <x:c r="B11" s="6" t="str">
        <x:v>Motion</x:v>
      </x:c>
      <x:c r="C11" s="6" t="str">
        <x:v>iMetrx HGR20 kit, two 1200 mm rails and four HGH20CA blocks</x:v>
      </x:c>
      <x:c r="D11" s="10" t="n">
        <x:v>1</x:v>
      </x:c>
      <x:c r="E11" s="10" t="str">
        <x:v>each</x:v>
      </x:c>
      <x:c r="F11" s="11" t="n">
        <x:v>79.99</x:v>
      </x:c>
      <x:c r="G11" s="8" t="n">
        <x:f>ROUND(D11*F11,2)</x:f>
        <x:v>79.99</x:v>
      </x:c>
      <x:c r="H11" s="6" t="str">
        <x:v>Amazon</x:v>
      </x:c>
      <x:c r="I11" s="6" t="str">
        <x:v>https://www.amazon.com/dp/B0FFMN9KNC</x:v>
      </x:c>
      <x:c r="J11" s="6" t="str">
        <x:v>One kit left; advertised free delivery October1. Both rails and all four blocks are used.</x:v>
      </x:c>
      <x:c r="K11" s="2"/>
    </x:row>
    <x:row r="12" ht="78" customHeight="1">
      <x:c r="A12" s="6" t="str">
        <x:v>B01</x:v>
      </x:c>
      <x:c r="B12" s="6" t="str">
        <x:v>Router bed</x:v>
      </x:c>
      <x:c r="C12" s="6" t="str">
        <x:v>IXGNIJ 20100 T-slot extrusion, two 1220 mm sticks per pack</x:v>
      </x:c>
      <x:c r="D12" s="10" t="n">
        <x:v>5</x:v>
      </x:c>
      <x:c r="E12" s="10" t="str">
        <x:v>pack</x:v>
      </x:c>
      <x:c r="F12" s="11" t="n">
        <x:v>79.99</x:v>
      </x:c>
      <x:c r="G12" s="8" t="n">
        <x:f>ROUND(D12*F12,2)</x:f>
        <x:v>399.95</x:v>
      </x:c>
      <x:c r="H12" s="6" t="str">
        <x:v>Amazon</x:v>
      </x:c>
      <x:c r="I12" s="6" t="str">
        <x:v>https://www.amazon.com/dp/B0BXNWK99C</x:v>
      </x:c>
      <x:c r="J12" s="6" t="str">
        <x:v>Twenty packs left; advertised free delivery September29. Five packs=ten sticks=thirty397mm strips. Not five sticks.</x:v>
      </x:c>
      <x:c r="K12" s="2"/>
    </x:row>
    <x:row r="13" ht="78" customHeight="1">
      <x:c r="A13" s="6" t="str">
        <x:v>R01</x:v>
      </x:c>
      <x:c r="B13" s="6" t="str">
        <x:v>Router head</x:v>
      </x:c>
      <x:c r="C13" s="6" t="str">
        <x:v>Zhong Hua Jiang 110 V 1.5 kW air-cooled spindle kit, 65 mm, ER11</x:v>
      </x:c>
      <x:c r="D13" s="10" t="n">
        <x:v>1</x:v>
      </x:c>
      <x:c r="E13" s="10" t="str">
        <x:v>each</x:v>
      </x:c>
      <x:c r="F13" s="11" t="n">
        <x:v>309.99</x:v>
      </x:c>
      <x:c r="G13" s="8" t="n">
        <x:f>ROUND(D13*F13,2)</x:f>
        <x:v>309.99</x:v>
      </x:c>
      <x:c r="H13" s="6" t="str">
        <x:v>Amazon</x:v>
      </x:c>
      <x:c r="I13" s="6" t="str">
        <x:v>https://www.amazon.com/dp/B0BF5R3LNC</x:v>
      </x:c>
      <x:c r="J13" s="6" t="str">
        <x:v>Thirteen left; advertised free delivery September29. Credit-card offer and protection plan excluded. Included clamp fit not yet established for CAD interface.</x:v>
      </x:c>
      <x:c r="K13" s="2"/>
    </x:row>
    <x:row r="14" ht="78" customHeight="1">
      <x:c r="A14" s="6" t="str">
        <x:v>E02</x:v>
      </x:c>
      <x:c r="B14" s="6" t="str">
        <x:v>Controls</x:v>
      </x:c>
      <x:c r="C14" s="6" t="str">
        <x:v>MEAN WELL LRS-350-36 motor supply</x:v>
      </x:c>
      <x:c r="D14" s="10" t="n">
        <x:v>1</x:v>
      </x:c>
      <x:c r="E14" s="10" t="str">
        <x:v>each</x:v>
      </x:c>
      <x:c r="F14" s="11" t="n">
        <x:v>36.07</x:v>
      </x:c>
      <x:c r="G14" s="8" t="n">
        <x:f>ROUND(D14*F14,2)</x:f>
        <x:v>36.07</x:v>
      </x:c>
      <x:c r="H14" s="6" t="str">
        <x:v>Amazon</x:v>
      </x:c>
      <x:c r="I14" s="6" t="str">
        <x:v>https://www.amazon.com/dp/B071HSNP83</x:v>
      </x:c>
      <x:c r="J14" s="6" t="str">
        <x:v>In stock; shipsAmazon/sellerMEANWELLPOWERSUPPLY; advertised free delivery September29.</x:v>
      </x:c>
      <x:c r="K14" s="2"/>
    </x:row>
    <x:row r="15" ht="78" customHeight="1">
      <x:c r="A15" s="6" t="str">
        <x:v>E03</x:v>
      </x:c>
      <x:c r="B15" s="6" t="str">
        <x:v>Controls</x:v>
      </x:c>
      <x:c r="C15" s="6" t="str">
        <x:v>MEAN WELL LRS-350-24, shared 24 V / 14.6 A supply</x:v>
      </x:c>
      <x:c r="D15" s="10" t="n">
        <x:v>1</x:v>
      </x:c>
      <x:c r="E15" s="10" t="str">
        <x:v>each</x:v>
      </x:c>
      <x:c r="F15" s="11" t="n">
        <x:v>31.4</x:v>
      </x:c>
      <x:c r="G15" s="8" t="n">
        <x:f>ROUND(D15*F15,2)</x:f>
        <x:v>31.4</x:v>
      </x:c>
      <x:c r="H15" s="6" t="str">
        <x:v>Amazon</x:v>
      </x:c>
      <x:c r="I15" s="6" t="str">
        <x:v>https://www.amazon.com/dp/B013ETVO12</x:v>
      </x:c>
      <x:c r="J15" s="6" t="str">
        <x:v>In stock; free September29delivery when combined eligible Amazon order exceeds35USD. Counted once, including water load.</x:v>
      </x:c>
      <x:c r="K15" s="2"/>
    </x:row>
    <x:row r="16" ht="78" customHeight="1">
      <x:c r="A16" s="6" t="str">
        <x:v>E05</x:v>
      </x:c>
      <x:c r="B16" s="6" t="str">
        <x:v>Controls</x:v>
      </x:c>
      <x:c r="C16" s="6" t="str">
        <x:v>VEVOR steel electrical enclosure 20 x 16 x 8 in</x:v>
      </x:c>
      <x:c r="D16" s="10" t="n">
        <x:v>1</x:v>
      </x:c>
      <x:c r="E16" s="10" t="str">
        <x:v>each</x:v>
      </x:c>
      <x:c r="F16" s="11" t="n">
        <x:v>84.9</x:v>
      </x:c>
      <x:c r="G16" s="8" t="n">
        <x:f>ROUND(D16*F16,2)</x:f>
        <x:v>84.9</x:v>
      </x:c>
      <x:c r="H16" s="6" t="str">
        <x:v>Amazon</x:v>
      </x:c>
      <x:c r="I16" s="6" t="str">
        <x:v>https://www.amazon.com/dp/B0924BN1P5</x:v>
      </x:c>
      <x:c r="J16" s="6" t="str">
        <x:v>One new unit left; advertised free September29delivery. Used offer excluded. Panel layout and ventilation remain unfinished.</x:v>
      </x:c>
      <x:c r="K16" s="2"/>
    </x:row>
    <x:row r="17" ht="78" customHeight="1">
      <x:c r="A17" s="6" t="str">
        <x:v>E06</x:v>
      </x:c>
      <x:c r="B17" s="6" t="str">
        <x:v>Controls</x:v>
      </x:c>
      <x:c r="C17" s="6" t="str">
        <x:v>Enclosed cable chain 25 x 50 mm, R55, 1 metre</x:v>
      </x:c>
      <x:c r="D17" s="10" t="n">
        <x:v>2</x:v>
      </x:c>
      <x:c r="E17" s="10" t="str">
        <x:v>each</x:v>
      </x:c>
      <x:c r="F17" s="11" t="n">
        <x:v>29.99</x:v>
      </x:c>
      <x:c r="G17" s="8" t="n">
        <x:f>ROUND(D17*F17,2)</x:f>
        <x:v>59.98</x:v>
      </x:c>
      <x:c r="H17" s="6" t="str">
        <x:v>Amazon</x:v>
      </x:c>
      <x:c r="I17" s="6" t="str">
        <x:v>https://www.amazon.com/dp/B0DSPK5X4V</x:v>
      </x:c>
      <x:c r="J17" s="6" t="str">
        <x:v>In stock; free September29delivery with eligible Amazon order over35USD. Anchors and full cable envelope still require design closure.</x:v>
      </x:c>
      <x:c r="K17" s="2"/>
    </x:row>
    <x:row r="18" ht="78" customHeight="1">
      <x:c r="A18" s="6" t="str">
        <x:v>E19</x:v>
      </x:c>
      <x:c r="B18" s="6" t="str">
        <x:v>Controls</x:v>
      </x:c>
      <x:c r="C18" s="6" t="str">
        <x:v>BIGTREETECH CB1 V2.2 host module</x:v>
      </x:c>
      <x:c r="D18" s="10" t="n">
        <x:v>1</x:v>
      </x:c>
      <x:c r="E18" s="10" t="str">
        <x:v>each</x:v>
      </x:c>
      <x:c r="F18" s="11" t="n">
        <x:v>32.99</x:v>
      </x:c>
      <x:c r="G18" s="8" t="n">
        <x:f>ROUND(D18*F18,2)</x:f>
        <x:v>32.99</x:v>
      </x:c>
      <x:c r="H18" s="6" t="str">
        <x:v>Amazon</x:v>
      </x:c>
      <x:c r="I18" s="6" t="str">
        <x:v>https://www.amazon.com/dp/B0BLBV9FNY</x:v>
      </x:c>
      <x:c r="J18" s="6" t="str">
        <x:v>In stock; shipsAmazon/sellerBIGTREETECH; free September29delivery with eligible Amazon order over35USD. Now live price evidence, replacing screenshot basis.</x:v>
      </x:c>
      <x:c r="K18" s="2"/>
    </x:row>
    <x:row r="19" ht="78" customHeight="1">
      <x:c r="A19" s="6" t="str">
        <x:v>E07</x:v>
      </x:c>
      <x:c r="B19" s="6" t="str">
        <x:v>Controls</x:v>
      </x:c>
      <x:c r="C19" s="6" t="str">
        <x:v>BIGTREETECH Kraken V1.1 with 8 integrated drivers</x:v>
      </x:c>
      <x:c r="D19" s="10" t="n">
        <x:v>1</x:v>
      </x:c>
      <x:c r="E19" s="10" t="str">
        <x:v>each</x:v>
      </x:c>
      <x:c r="F19" s="11" t="n">
        <x:v>129.99</x:v>
      </x:c>
      <x:c r="G19" s="8" t="n">
        <x:f>ROUND(D19*F19,2)</x:f>
        <x:v>129.99</x:v>
      </x:c>
      <x:c r="H19" s="6" t="str">
        <x:v>BIQU</x:v>
      </x:c>
      <x:c r="I19" s="6" t="str">
        <x:v>https://biqu.equipment/products/kraken-for-voron-phoenix</x:v>
      </x:c>
      <x:c r="J19" s="6" t="str">
        <x:v>Manufacturer variant40619241472098 available. Advertised free shipping over59USD; combined withPi4B. Normal policy10–20businessdays. Not a ZIP-specific checkout quote; import charges not established.</x:v>
      </x:c>
      <x:c r="K19" s="2"/>
    </x:row>
    <x:row r="20" ht="78" customHeight="1">
      <x:c r="A20" s="6" t="str">
        <x:v>E20</x:v>
      </x:c>
      <x:c r="B20" s="6" t="str">
        <x:v>Controls</x:v>
      </x:c>
      <x:c r="C20" s="6" t="str">
        <x:v>BIGTREETECH Pi4B V1.0 carrier only</x:v>
      </x:c>
      <x:c r="D20" s="10" t="n">
        <x:v>1</x:v>
      </x:c>
      <x:c r="E20" s="10" t="str">
        <x:v>each</x:v>
      </x:c>
      <x:c r="F20" s="11" t="n">
        <x:v>28.98</x:v>
      </x:c>
      <x:c r="G20" s="8" t="n">
        <x:f>ROUND(D20*F20,2)</x:f>
        <x:v>28.98</x:v>
      </x:c>
      <x:c r="H20" s="6" t="str">
        <x:v>BIQU</x:v>
      </x:c>
      <x:c r="I20" s="6" t="str">
        <x:v>https://biqu.equipment/products/pi4b-adapter-v1-0?variant=39919128969314</x:v>
      </x:c>
      <x:c r="J20" s="6" t="str">
        <x:v>ExactPI4Boption selected28.98USD; add-to-cart enabled. Consolidate withKraken to satisfy advertised59USD free-shipping threshold. Not a standalone free-shipping claim.</x:v>
      </x:c>
      <x:c r="K20" s="2"/>
    </x:row>
    <x:row r="21" ht="78" customHeight="1">
      <x:c r="A21" s="6" t="str">
        <x:v>S07</x:v>
      </x:c>
      <x:c r="B21" s="6" t="str">
        <x:v>Motion</x:v>
      </x:c>
      <x:c r="C21" s="6" t="str">
        <x:v>80/20 standard 40-8080, 1200 mm cut</x:v>
      </x:c>
      <x:c r="D21" s="10" t="n">
        <x:v>1</x:v>
      </x:c>
      <x:c r="E21" s="10" t="str">
        <x:v>each</x:v>
      </x:c>
      <x:c r="F21" s="11" t="n">
        <x:v>151.73</x:v>
      </x:c>
      <x:c r="G21" s="8" t="n">
        <x:f>ROUND(D21*F21,2)</x:f>
        <x:v>151.73</x:v>
      </x:c>
      <x:c r="H21" s="6" t="str">
        <x:v>80/20</x:v>
      </x:c>
      <x:c r="I21" s="6" t="str">
        <x:v>https://8020.net/40-8080.html</x:v>
      </x:c>
      <x:c r="J21" s="6" t="str">
        <x:v>Configured cart1200mm/47.24in,151.73goods. Shared freight with16M8nuts is61.30 in shipping register, counted once.</x:v>
      </x:c>
      <x:c r="K21" s="2"/>
    </x:row>
    <x:row r="22" ht="78" customHeight="1">
      <x:c r="A22" s="6" t="str">
        <x:v>H11</x:v>
      </x:c>
      <x:c r="B22" s="6" t="str">
        <x:v>Motion</x:v>
      </x:c>
      <x:c r="C22" s="6" t="str">
        <x:v>80/20 40-3915 M8 T-nut</x:v>
      </x:c>
      <x:c r="D22" s="10" t="n">
        <x:v>16</x:v>
      </x:c>
      <x:c r="E22" s="10" t="str">
        <x:v>each</x:v>
      </x:c>
      <x:c r="F22" s="11" t="n">
        <x:v>2.58</x:v>
      </x:c>
      <x:c r="G22" s="8" t="n">
        <x:f>ROUND(D22*F22,2)</x:f>
        <x:v>41.28</x:v>
      </x:c>
      <x:c r="H22" s="6" t="str">
        <x:v>80/20</x:v>
      </x:c>
      <x:c r="I22" s="6" t="str">
        <x:v>https://8020.net/40-3915.html</x:v>
      </x:c>
      <x:c r="J22" s="6" t="str">
        <x:v>Configured cart16nuts,41.28goods. Shared order withbeam:193.01goods+61.30UPS+17.80estimatedtax=272.11. No purchase.</x:v>
      </x:c>
      <x:c r="K22" s="2"/>
    </x:row>
    <x:row r="23" ht="78" customHeight="1">
      <x:c r="A23" s="6" t="str">
        <x:v>W-PUMP</x:v>
      </x:c>
      <x:c r="B23" s="6" t="str">
        <x:v>Water controls</x:v>
      </x:c>
      <x:c r="C23" s="6" t="str">
        <x:v>SEAFLO SFDP2-018-120-31, 24V continuous-duty diaphragm pump</x:v>
      </x:c>
      <x:c r="D23" s="10" t="n">
        <x:v>1</x:v>
      </x:c>
      <x:c r="E23" s="10" t="str">
        <x:v>pack / lot</x:v>
      </x:c>
      <x:c r="F23" s="11" t="n">
        <x:v>71.99</x:v>
      </x:c>
      <x:c r="G23" s="8" t="n">
        <x:f>ROUND(D23*F23,2)</x:f>
        <x:v>71.99</x:v>
      </x:c>
      <x:c r="H23" s="6" t="str">
        <x:v>Amazon</x:v>
      </x:c>
      <x:c r="I23" s="6" t="str">
        <x:v>https://www.amazon.com/dp/B0DW67Z14F</x:v>
      </x:c>
      <x:c r="J23" s="6" t="str">
        <x:v>In stock; advertised free deliveryOctober2.</x:v>
      </x:c>
      <x:c r="K23" s="2"/>
    </x:row>
    <x:row r="24" ht="78" customHeight="1">
      <x:c r="A24" s="6" t="str">
        <x:v>W-DRAIN</x:v>
      </x:c>
      <x:c r="B24" s="6" t="str">
        <x:v>Water controls</x:v>
      </x:c>
      <x:c r="C24" s="6" t="str">
        <x:v>U.S.Solid USS-MSV00009, 1in NPT SS304 two-wire auto-return NC valve</x:v>
      </x:c>
      <x:c r="D24" s="10" t="n">
        <x:v>1</x:v>
      </x:c>
      <x:c r="E24" s="10" t="str">
        <x:v>pack / lot</x:v>
      </x:c>
      <x:c r="F24" s="11" t="n">
        <x:v>59.79</x:v>
      </x:c>
      <x:c r="G24" s="8" t="n">
        <x:f>ROUND(D24*F24,2)</x:f>
        <x:v>59.79</x:v>
      </x:c>
      <x:c r="H24" s="6" t="str">
        <x:v>Amazon</x:v>
      </x:c>
      <x:c r="I24" s="6" t="str">
        <x:v>https://www.amazon.com/dp/B06WWR1FRK</x:v>
      </x:c>
      <x:c r="J24" s="6" t="str">
        <x:v>In stock,new; advertised free deliverySeptember29. Used50.82offerexcluded.</x:v>
      </x:c>
      <x:c r="K24" s="2"/>
    </x:row>
    <x:row r="25" ht="78" customHeight="1">
      <x:c r="A25" s="6" t="str">
        <x:v>W-STRAINER</x:v>
      </x:c>
      <x:c r="B25" s="6" t="str">
        <x:v>Water controls</x:v>
      </x:c>
      <x:c r="C25" s="6" t="str">
        <x:v>SEAFLO SFWS-500-02, 1/2NPT inline strainer, 50mesh316 stainless screen</x:v>
      </x:c>
      <x:c r="D25" s="10" t="n">
        <x:v>1</x:v>
      </x:c>
      <x:c r="E25" s="10" t="str">
        <x:v>pack / lot</x:v>
      </x:c>
      <x:c r="F25" s="11" t="n">
        <x:v>19.99</x:v>
      </x:c>
      <x:c r="G25" s="8" t="n">
        <x:f>ROUND(D25*F25,2)</x:f>
        <x:v>19.99</x:v>
      </x:c>
      <x:c r="H25" s="6" t="str">
        <x:v>Amazon</x:v>
      </x:c>
      <x:c r="I25" s="6" t="str">
        <x:v>https://www.amazon.com/dp/B0H7K7G8GF</x:v>
      </x:c>
      <x:c r="J25" s="6" t="str">
        <x:v>In stock; advertised free September29delivery oneligibleAmazonorderson35USD.</x:v>
      </x:c>
      <x:c r="K25" s="2"/>
    </x:row>
    <x:row r="26" ht="78" customHeight="1">
      <x:c r="A26" s="6" t="str">
        <x:v>W-FLOAT</x:v>
      </x:c>
      <x:c r="B26" s="6" t="str">
        <x:v>Water controls</x:v>
      </x:c>
      <x:c r="C26" s="6" t="str">
        <x:v>FOCMKEAS A250601FTD004, two-pack M10 x65mm stainless vertical float switches</x:v>
      </x:c>
      <x:c r="D26" s="10" t="n">
        <x:v>3</x:v>
      </x:c>
      <x:c r="E26" s="10" t="str">
        <x:v>pack / lot</x:v>
      </x:c>
      <x:c r="F26" s="11" t="n">
        <x:v>9.99</x:v>
      </x:c>
      <x:c r="G26" s="8" t="n">
        <x:f>ROUND(D26*F26,2)</x:f>
        <x:v>29.97</x:v>
      </x:c>
      <x:c r="H26" s="6" t="str">
        <x:v>Amazon</x:v>
      </x:c>
      <x:c r="I26" s="6" t="str">
        <x:v>https://www.amazon.com/dp/B0FFG7B54S</x:v>
      </x:c>
      <x:c r="J26" s="6" t="str">
        <x:v>Six packs left; threepacksprovide sixswitches. AdvertisedfreeSeptember29deliverywitheligibleAmazonorderson35USD.</x:v>
      </x:c>
      <x:c r="K26" s="2"/>
    </x:row>
    <x:row r="27" ht="78" customHeight="1">
      <x:c r="A27" s="6" t="str">
        <x:v>W-CLOSE-TIMER</x:v>
      </x:c>
      <x:c r="B27" s="6" t="str">
        <x:v>Water controls</x:v>
      </x:c>
      <x:c r="C27" s="6" t="str">
        <x:v>BAOMAIN AH3-3 AC/DC24V 60-second-range power-on-delay timer with socket</x:v>
      </x:c>
      <x:c r="D27" s="10" t="n">
        <x:v>1</x:v>
      </x:c>
      <x:c r="E27" s="10" t="str">
        <x:v>pack / lot</x:v>
      </x:c>
      <x:c r="F27" s="11" t="n">
        <x:v>9.99</x:v>
      </x:c>
      <x:c r="G27" s="8" t="n">
        <x:f>ROUND(D27*F27,2)</x:f>
        <x:v>9.99</x:v>
      </x:c>
      <x:c r="H27" s="6" t="str">
        <x:v>Amazon</x:v>
      </x:c>
      <x:c r="I27" s="6" t="str">
        <x:v>https://www.amazon.com/dp/B01JCIA9ME</x:v>
      </x:c>
      <x:c r="J27" s="6" t="str">
        <x:v>In stock; advertised free September29delivery with eligibleAmazonorderover35USD. DCcontact duty remains unqualified; price is not electrical release.</x:v>
      </x:c>
      <x:c r="K27" s="2"/>
    </x:row>
    <x:row r="28" ht="78" customHeight="1">
      <x:c r="A28" s="6" t="str">
        <x:v>H10</x:v>
      </x:c>
      <x:c r="B28" s="6" t="str">
        <x:v>Motion</x:v>
      </x:c>
      <x:c r="C28" s="6" t="str">
        <x:v>SKF SAL6C left-hand rod end</x:v>
      </x:c>
      <x:c r="D28" s="10" t="n">
        <x:v>3</x:v>
      </x:c>
      <x:c r="E28" s="10" t="str">
        <x:v>each</x:v>
      </x:c>
      <x:c r="F28" s="11" t="n">
        <x:v>46.27</x:v>
      </x:c>
      <x:c r="G28" s="8" t="n">
        <x:f>ROUND(D28*F28,2)</x:f>
        <x:v>138.81</x:v>
      </x:c>
      <x:c r="H28" s="6" t="str">
        <x:v>SP Spareparts</x:v>
      </x:c>
      <x:c r="I28" s="6" t="str">
        <x:v>https://www.sp-spareparts.com/en/p/sal6-c-skf</x:v>
      </x:c>
      <x:c r="J28" s="6" t="str">
        <x:v>Three floating-drive links each require one RH and one LH end. Freight unquoted. Earlier same-day offer retained; freight not yet quoted.</x:v>
      </x:c>
      <x:c r="K28" s="2"/>
    </x:row>
    <x:row r="29" ht="78" customHeight="1">
      <x:c r="A29" s="6" t="str">
        <x:v>E10</x:v>
      </x:c>
      <x:c r="B29" s="6" t="str">
        <x:v>Controls</x:v>
      </x:c>
      <x:c r="C29" s="6" t="str">
        <x:v>Omron D2VW-01L2-1MS sealed gold-contact roller home switch</x:v>
      </x:c>
      <x:c r="D29" s="10" t="n">
        <x:v>4</x:v>
      </x:c>
      <x:c r="E29" s="10" t="str">
        <x:v>each</x:v>
      </x:c>
      <x:c r="F29" s="11" t="n">
        <x:v>14.09</x:v>
      </x:c>
      <x:c r="G29" s="8" t="n">
        <x:f>ROUND(D29*F29,2)</x:f>
        <x:v>56.36</x:v>
      </x:c>
      <x:c r="H29" s="6" t="str">
        <x:v>Mouser</x:v>
      </x:c>
      <x:c r="I29" s="6" t="str">
        <x:v>https://www.mouser.com/ProductDetail/Omron-Electronics/D2VW-01L2-1MS?qs=ImaqFqjHA4nlTsHd7%252BPS7w%3D%3D</x:v>
      </x:c>
      <x:c r="J29" s="6" t="str">
        <x:v>Replaces old $48 switch allowance. Three XY switches modeled; fourth Z mounting awaits supplier dimensions. Page warns of possible 10% tariff; actual charge unquoted. Earlier same-day offer retained; freight not yet quoted.</x:v>
      </x:c>
      <x:c r="K29" s="2"/>
    </x:row>
    <x:row r="30" ht="78" customHeight="1">
      <x:c r="A30" s="6" t="str">
        <x:v>W-AUX-RELAYS</x:v>
      </x:c>
      <x:c r="B30" s="6" t="str">
        <x:v>Water controls</x:v>
      </x:c>
      <x:c r="C30" s="6" t="str">
        <x:v>Finder 40.52.9.024.0000 DPDT 24 VDC relay with 95.05 DIN socket</x:v>
      </x:c>
      <x:c r="D30" s="10" t="n">
        <x:v>6</x:v>
      </x:c>
      <x:c r="E30" s="10" t="str">
        <x:v>pack / lot</x:v>
      </x:c>
      <x:c r="F30" s="11" t="n">
        <x:v>14.87</x:v>
      </x:c>
      <x:c r="G30" s="8" t="n">
        <x:f>ROUND(D30*F30,2)</x:f>
        <x:v>89.22</x:v>
      </x:c>
      <x:c r="H30" s="6" t="str">
        <x:v>DigiKey</x:v>
      </x:c>
      <x:c r="I30" s="6" t="str">
        <x:v>https://www.digikey.com/en/products/detail/finder-relays-inc/40-52-9-024-0000/10055849</x:v>
      </x:c>
      <x:c r="J30" s="6" t="str">
        <x:v>K_ARM, K_FILL, K_DRAIN, K_MIN, K_EMPTY, K_READY. Published nominal coil current 27 mA; IEC terminal allocation in WATER-ELECTRICAL-REVIEW.md. K_ARM requires release of the FILL button before restarting after loss of FILL_ALLOWED. No pump load is switched by these auxiliary contacts; controller-interface wetting current remains a design item. Shipping to 30510 unquoted Earlier same-day offer retained; freight not yet quoted.</x:v>
      </x:c>
      <x:c r="K30" s="2"/>
    </x:row>
    <x:row r="31" ht="78" customHeight="1">
      <x:c r="A31" s="6" t="str">
        <x:v>W-DRAIN-TIMER</x:v>
      </x:c>
      <x:c r="B31" s="6" t="str">
        <x:v>Water controls</x:v>
      </x:c>
      <x:c r="C31" s="6" t="str">
        <x:v>BAOMAIN AH3-3-24V-3Min power-on-delay timer with socket, 24 VDC, 3-minute range</x:v>
      </x:c>
      <x:c r="D31" s="10" t="n">
        <x:v>1</x:v>
      </x:c>
      <x:c r="E31" s="10" t="str">
        <x:v>pack / lot</x:v>
      </x:c>
      <x:c r="F31" s="11" t="n">
        <x:v>10.79</x:v>
      </x:c>
      <x:c r="G31" s="8" t="n">
        <x:f>ROUND(D31*F31,2)</x:f>
        <x:v>10.79</x:v>
      </x:c>
      <x:c r="H31" s="6" t="str">
        <x:v>Baomain</x:v>
      </x:c>
      <x:c r="I31" s="6" t="str">
        <x:v>https://baomain.com/products/baomain-ah3-3-24v?variant=42107472478393</x:v>
      </x:c>
      <x:c r="J31" s="6" t="str">
        <x:v>Set nominally to 75 seconds, then measure and adjust to at least 60 seconds. Three-minute range replaces the unselected six-minute-range allowance. Same control function; one timed contact plus one instantaneous contact. Verify printed terminal diagram and timer DC contact suitability for selected low-power relay coil. Unquoted to Alto GA 30510; covered by planning reserve, not treated as free Earlier same-day offer retained; freight not yet quoted.</x:v>
      </x:c>
      <x:c r="K31" s="2"/>
    </x:row>
    <x:row r="32" ht="78" customHeight="1">
      <x:c r="A32" s="6" t="str">
        <x:v>W-MOTOR-RELAYS</x:v>
      </x:c>
      <x:c r="B32" s="6" t="str">
        <x:v>Water controls</x:v>
      </x:c>
      <x:c r="C32" s="6" t="str">
        <x:v>Carlo Gavazzi RM1D060D20 DC solid-state pump switch</x:v>
      </x:c>
      <x:c r="D32" s="10" t="n">
        <x:v>2</x:v>
      </x:c>
      <x:c r="E32" s="10" t="str">
        <x:v>pack / lot</x:v>
      </x:c>
      <x:c r="F32" s="11" t="n">
        <x:v>66.5</x:v>
      </x:c>
      <x:c r="G32" s="8" t="n">
        <x:f>ROUND(D32*F32,2)</x:f>
        <x:v>133</x:v>
      </x:c>
      <x:c r="H32" s="6" t="str">
        <x:v>DigiKey</x:v>
      </x:c>
      <x:c r="I32" s="6" t="str">
        <x:v>https://www.digikey.com/en/products/detail/carlo-gavazzi-inc/RM1D060D20/13277978</x:v>
      </x:c>
      <x:c r="J32" s="6" t="str">
        <x:v>Two series devices, 20 A continuous subject to thermal conditions, 30 A for 1 second repetitive overload. Required motor flyback diode, heat-dissipating mounting and measured pump inrush verification. Not a service isolator. Shipping to 30510 unquoted Earlier same-day offer retained; freight not yet quoted.</x:v>
      </x:c>
      <x:c r="K32" s="2"/>
    </x:row>
    <x:row r="33" ht="78" customHeight="1">
      <x:c r="A33" s="6" t="str">
        <x:v>MET01</x:v>
      </x:c>
      <x:c r="B33" s="6" t="str">
        <x:v>Chassis</x:v>
      </x:c>
      <x:c r="C33" s="6" t="str">
        <x:v>2 x 2 x .120 inch A500 square tube, full 20 ft</x:v>
      </x:c>
      <x:c r="D33" s="10" t="n">
        <x:v>6</x:v>
      </x:c>
      <x:c r="E33" s="10" t="str">
        <x:v>stock piece</x:v>
      </x:c>
      <x:c r="F33" s="11" t="n">
        <x:v>155.15</x:v>
      </x:c>
      <x:c r="G33" s="8" t="n">
        <x:f>ROUND(D33*F33,2)</x:f>
        <x:v>930.9</x:v>
      </x:c>
      <x:c r="H33" s="6" t="str">
        <x:v>BlueSky Supplies</x:v>
      </x:c>
      <x:c r="I33" s="6" t="str">
        <x:v>https://www.blueskysupplies.com/products/2inch-x-2-inch-x-120-a500-tube</x:v>
      </x:c>
      <x:c r="J33" s="6" t="str">
        <x:v>All 36 square-tube blanks in existing six-bar cut plan. Net 35,976.8 mm. No blanket 10 ft transport cuts permitted. High retail reference, not a lowest-price buying recommendation. Posted goods price; delivery unquoted. Cheaper exact-spec Bobco goods benchmark is $585 for six bars, LA pickup advertised, Georgia delivery unquoted. Local SteelMart/Sabel quotes pending; see TUBE-PRICE-COMPARISON.md.</x:v>
      </x:c>
      <x:c r="K33" s="2"/>
    </x:row>
    <x:row r="34" ht="78" customHeight="1">
      <x:c r="A34" s="6" t="str">
        <x:v>MET02</x:v>
      </x:c>
      <x:c r="B34" s="6" t="str">
        <x:v>Chassis</x:v>
      </x:c>
      <x:c r="C34" s="6" t="str">
        <x:v>JEGS555-35000 1 x 1 x .083 inch square tube,8 ft</x:v>
      </x:c>
      <x:c r="D34" s="10" t="n">
        <x:v>2</x:v>
      </x:c>
      <x:c r="E34" s="10" t="str">
        <x:v>stock piece</x:v>
      </x:c>
      <x:c r="F34" s="11" t="n">
        <x:v>23.9</x:v>
      </x:c>
      <x:c r="G34" s="8" t="n">
        <x:f>ROUND(D34*F34,2)</x:f>
        <x:v>47.8</x:v>
      </x:c>
      <x:c r="H34" s="6" t="str">
        <x:v>JEGS</x:v>
      </x:c>
      <x:c r="I34" s="6" t="str">
        <x:v>https://www.jegs.com/i/jegs-555-35000-mild-steel-square-tubing-1-in-x-1-in-x-0-083-in-thickness-x-8-ft-length</x:v>
      </x:c>
      <x:c r="J34" s="6" t="str">
        <x:v>Bar1:1213.178+912.995 mm; bar2:912.995+912.995 mm; remaining short brace from MET03. 3mm cuts and10mm trim each bar fit. Posted goods price; delivery unquoted</x:v>
      </x:c>
      <x:c r="K34" s="2"/>
    </x:row>
    <x:row r="35" ht="78" customHeight="1">
      <x:c r="A35" s="6" t="str">
        <x:v>MET03</x:v>
      </x:c>
      <x:c r="B35" s="6" t="str">
        <x:v>Chassis</x:v>
      </x:c>
      <x:c r="C35" s="6" t="str">
        <x:v>JEGS555-35008 same brace tube,4 ft</x:v>
      </x:c>
      <x:c r="D35" s="10" t="n">
        <x:v>1</x:v>
      </x:c>
      <x:c r="E35" s="10" t="str">
        <x:v>stock piece</x:v>
      </x:c>
      <x:c r="F35" s="11" t="n">
        <x:v>12.99</x:v>
      </x:c>
      <x:c r="G35" s="8" t="n">
        <x:f>ROUND(D35*F35,2)</x:f>
        <x:v>12.99</x:v>
      </x:c>
      <x:c r="H35" s="6" t="str">
        <x:v>JEGS</x:v>
      </x:c>
      <x:c r="I35" s="6" t="str">
        <x:v>https://www.jegs.com/i/jegs-555-35008-mild-steel-square-tubing-1-in-x-1-in-x-0-083-in-thickness-x-4-ft-length</x:v>
      </x:c>
      <x:c r="J35" s="6" t="str">
        <x:v>One912.995 mm brace; five braces total4,865.1534 mm. This replaces one unquoted20 ft bar; buying only two8 ft bars is insufficient once kerfs/trim are included. Posted goods price; delivery unquoted</x:v>
      </x:c>
      <x:c r="K35" s="2"/>
    </x:row>
    <x:row r="36" ht="78" customHeight="1">
      <x:c r="A36" s="6" t="str">
        <x:v>MET04</x:v>
      </x:c>
      <x:c r="B36" s="6" t="str">
        <x:v>Chassis</x:v>
      </x:c>
      <x:c r="C36" s="6" t="str">
        <x:v>A36 flat bar5/16 x4 x60 in; ZoroG423029500</x:v>
      </x:c>
      <x:c r="D36" s="10" t="n">
        <x:v>2</x:v>
      </x:c>
      <x:c r="E36" s="10" t="str">
        <x:v>stock piece</x:v>
      </x:c>
      <x:c r="F36" s="11" t="n">
        <x:v>45.79</x:v>
      </x:c>
      <x:c r="G36" s="8" t="n">
        <x:f>ROUND(D36*F36,2)</x:f>
        <x:v>91.58</x:v>
      </x:c>
      <x:c r="H36" s="6" t="str">
        <x:v>Zoro</x:v>
      </x:c>
      <x:c r="I36" s="6" t="str">
        <x:v>https://www.zoro.com/online-metal-supply-516-in-x-4-in-x-60-in-a36-steel-flat-bar-hot-rolled-a36fbt0313w4l601/i/G423029500/</x:v>
      </x:c>
      <x:c r="J36" s="6" t="str">
        <x:v>One1450x100 rail cap from each1524x101.6 bar. Nominal7.9375 thickness has no guaranteed cleanup allowance: flatness/finished top datum must be verified; thicker raw stock may be necessary. Posted goods price; delivery unquoted</x:v>
      </x:c>
      <x:c r="K36" s="2"/>
    </x:row>
    <x:row r="37" ht="78" customHeight="1">
      <x:c r="A37" s="6" t="str">
        <x:v>MET05</x:v>
      </x:c>
      <x:c r="B37" s="6" t="str">
        <x:v>Chassis</x:v>
      </x:c>
      <x:c r="C37" s="6" t="str">
        <x:v>A36 flat bar1/4 x2-1/4 x60 in; ZoroG123040102</x:v>
      </x:c>
      <x:c r="D37" s="10" t="n">
        <x:v>2</x:v>
      </x:c>
      <x:c r="E37" s="10" t="str">
        <x:v>stock piece</x:v>
      </x:c>
      <x:c r="F37" s="11" t="n">
        <x:v>22.35</x:v>
      </x:c>
      <x:c r="G37" s="8" t="n">
        <x:f>ROUND(D37*F37,2)</x:f>
        <x:v>44.7</x:v>
      </x:c>
      <x:c r="H37" s="6" t="str">
        <x:v>Zoro</x:v>
      </x:c>
      <x:c r="I37" s="6" t="str">
        <x:v>https://www.zoro.com/online-metal-supply-14-in-x-2-14-in-x-60-in-a36-steel-flat-bar-hot-rolled-a36fbt0250w225l601/i/G123040102/</x:v>
      </x:c>
      <x:c r="J37" s="6" t="str">
        <x:v>Two cap spacers1450x50.8, finish to6.000 mm. Wider57.15 stock leaves edge-finishing margin; do not assume nominal2in hot rolled width cleans up at50.8. Posted goods price; delivery unquoted</x:v>
      </x:c>
      <x:c r="K37" s="2"/>
    </x:row>
    <x:row r="38" ht="78" customHeight="1">
      <x:c r="A38" s="6" t="str">
        <x:v>MET06</x:v>
      </x:c>
      <x:c r="B38" s="6" t="str">
        <x:v>Router bed</x:v>
      </x:c>
      <x:c r="C38" s="6" t="str">
        <x:v>6061-T6511 flat bar1/4 x1 x72 in; OnlineMetals1143</x:v>
      </x:c>
      <x:c r="D38" s="10" t="n">
        <x:v>4</x:v>
      </x:c>
      <x:c r="E38" s="10" t="str">
        <x:v>stock piece</x:v>
      </x:c>
      <x:c r="F38" s="11" t="n">
        <x:v>17.32</x:v>
      </x:c>
      <x:c r="G38" s="8" t="n">
        <x:f>ROUND(D38*F38,2)</x:f>
        <x:v>69.28</x:v>
      </x:c>
      <x:c r="H38" s="6" t="str">
        <x:v>OnlineMetals</x:v>
      </x:c>
      <x:c r="I38" s="6" t="str">
        <x:v>https://www.onlinemetals.com/en/buy/aluminum/0-25-x-1-aluminum-rectangle-bar-6061-t6511-extruded/pid/1143</x:v>
      </x:c>
      <x:c r="J38" s="6" t="str">
        <x:v>Three500 mm cassette ties per bar;12ties total,3mm kerfs+10mmtrim fits. Use stock width/thickness tolerance in fit review. Posted goods price; delivery unquoted</x:v>
      </x:c>
      <x:c r="K38" s="2"/>
    </x:row>
    <x:row r="39" ht="78" customHeight="1">
      <x:c r="A39" s="6" t="str">
        <x:v>MET07</x:v>
      </x:c>
      <x:c r="B39" s="6" t="str">
        <x:v>Motion</x:v>
      </x:c>
      <x:c r="C39" s="6" t="str">
        <x:v>6061-T6511 flat bar1/2 x8 x72 in; OnlineMetals20670</x:v>
      </x:c>
      <x:c r="D39" s="10" t="n">
        <x:v>1</x:v>
      </x:c>
      <x:c r="E39" s="10" t="str">
        <x:v>stock piece</x:v>
      </x:c>
      <x:c r="F39" s="11" t="n">
        <x:v>215.39</x:v>
      </x:c>
      <x:c r="G39" s="8" t="n">
        <x:f>ROUND(D39*F39,2)</x:f>
        <x:v>215.39</x:v>
      </x:c>
      <x:c r="H39" s="6" t="str">
        <x:v>OnlineMetals</x:v>
      </x:c>
      <x:c r="I39" s="6" t="str">
        <x:v>https://www.onlinemetals.com/en/buy/aluminum/0-5-x-8-aluminum-rectangle-bar-6061-t6511-extruded/pid/20670</x:v>
      </x:c>
      <x:c r="J39" s="6" t="str">
        <x:v>Sequential length1200+280+280+three3mmcuts+10mmtrim=1779&lt;1828.8. X guide face112wide;2Yshoes131.3wide. Face side offcut takes110x70tool interface. Two65x48drive shoes can be milled to6.35 from remaining71.9x280 side strip; no separate1/4 stock for them. Posted goods price; delivery unquoted</x:v>
      </x:c>
      <x:c r="K39" s="2"/>
    </x:row>
    <x:row r="40" ht="78" customHeight="1">
      <x:c r="A40" s="6" t="str">
        <x:v>MET08</x:v>
      </x:c>
      <x:c r="B40" s="6" t="str">
        <x:v>Motion</x:v>
      </x:c>
      <x:c r="C40" s="6" t="str">
        <x:v>6061-T6511 flat bar1/2 x8 x12 in; OnlineMetals20670</x:v>
      </x:c>
      <x:c r="D40" s="10" t="n">
        <x:v>1</x:v>
      </x:c>
      <x:c r="E40" s="10" t="str">
        <x:v>stock piece</x:v>
      </x:c>
      <x:c r="F40" s="11" t="n">
        <x:v>58.74</x:v>
      </x:c>
      <x:c r="G40" s="8" t="n">
        <x:f>ROUND(D40*F40,2)</x:f>
        <x:v>58.74</x:v>
      </x:c>
      <x:c r="H40" s="6" t="str">
        <x:v>OnlineMetals</x:v>
      </x:c>
      <x:c r="I40" s="6" t="str">
        <x:v>https://www.onlinemetals.com/en/buy/aluminum/0-5-x-8-aluminum-rectangle-bar-6061-t6511-extruded/pid/20670</x:v>
      </x:c>
      <x:c r="J40" s="6" t="str">
        <x:v>Z carrier260x170.2 fits304.8x203.2. Exact thickness/flatness cleanup allowance unresolved for nominal12.7finished geometry. Posted goods price; delivery unquoted</x:v>
      </x:c>
      <x:c r="K40" s="2"/>
    </x:row>
    <x:row r="41" ht="78" customHeight="1">
      <x:c r="A41" s="6" t="str">
        <x:v>MET09</x:v>
      </x:c>
      <x:c r="B41" s="6" t="str">
        <x:v>Motion</x:v>
      </x:c>
      <x:c r="C41" s="6" t="str">
        <x:v>6061-T6511 billet3.5 x6 x12 in; BuyMetalF613.126T6511</x:v>
      </x:c>
      <x:c r="D41" s="10" t="n">
        <x:v>1</x:v>
      </x:c>
      <x:c r="E41" s="10" t="str">
        <x:v>stock piece</x:v>
      </x:c>
      <x:c r="F41" s="11" t="n">
        <x:v>296.31</x:v>
      </x:c>
      <x:c r="G41" s="8" t="n">
        <x:f>ROUND(D41*F41,2)</x:f>
        <x:v>296.31</x:v>
      </x:c>
      <x:c r="H41" s="6" t="str">
        <x:v>BuyMetal</x:v>
      </x:c>
      <x:c r="I41" s="6" t="str">
        <x:v>https://store.buymetal.com/aluminum-rectangular-bar-6061-t6511-3-5-6.html</x:v>
      </x:c>
      <x:c r="J41" s="6" t="str">
        <x:v>Cut two gantry bracket blanks150x80x82.7 with80axis along length:2*80+2*3+10=176mm. Remainder128.8x152.4x88.9 holds both103.1x32x46.35 Y supports side-by-side (2*32+3=67mm). Integral shapes retain frozen CAD geometry. Posted goods price; delivery unquoted</x:v>
      </x:c>
      <x:c r="K41" s="2"/>
    </x:row>
    <x:row r="42" ht="78" customHeight="1">
      <x:c r="A42" s="6" t="str">
        <x:v>MET10</x:v>
      </x:c>
      <x:c r="B42" s="6" t="str">
        <x:v>Motion</x:v>
      </x:c>
      <x:c r="C42" s="6" t="str">
        <x:v>6061-T6511 flat bar1.5 x5 x12 in; OnlineMetals15243</x:v>
      </x:c>
      <x:c r="D42" s="10" t="n">
        <x:v>1</x:v>
      </x:c>
      <x:c r="E42" s="10" t="str">
        <x:v>stock piece</x:v>
      </x:c>
      <x:c r="F42" s="11" t="n">
        <x:v>114.36</x:v>
      </x:c>
      <x:c r="G42" s="8" t="n">
        <x:f>ROUND(D42*F42,2)</x:f>
        <x:v>114.36</x:v>
      </x:c>
      <x:c r="H42" s="6" t="str">
        <x:v>OnlineMetals</x:v>
      </x:c>
      <x:c r="I42" s="6" t="str">
        <x:v>https://www.onlinemetals.com/en/buy/aluminum/1-5-x-5-aluminum-rectangle-bar-6061-t6511-extruded/pid/15243</x:v>
      </x:c>
      <x:c r="J42" s="6" t="str">
        <x:v>X integral support156x120.8x36.35 fits304.8x127x38.1. Subject to stock thickness tolerance/cleanup. Posted goods price; delivery unquoted</x:v>
      </x:c>
      <x:c r="K42" s="2"/>
    </x:row>
    <x:row r="43" ht="78" customHeight="1">
      <x:c r="A43" s="6" t="str">
        <x:v>MET11</x:v>
      </x:c>
      <x:c r="B43" s="6" t="str">
        <x:v>Motion</x:v>
      </x:c>
      <x:c r="C43" s="6" t="str">
        <x:v>6061-T6511 bar1.5 x2 x12 in; OnlineMetals7019</x:v>
      </x:c>
      <x:c r="D43" s="10" t="n">
        <x:v>1</x:v>
      </x:c>
      <x:c r="E43" s="10" t="str">
        <x:v>stock piece</x:v>
      </x:c>
      <x:c r="F43" s="11" t="n">
        <x:v>57.46</x:v>
      </x:c>
      <x:c r="G43" s="8" t="n">
        <x:f>ROUND(D43*F43,2)</x:f>
        <x:v>57.46</x:v>
      </x:c>
      <x:c r="H43" s="6" t="str">
        <x:v>OnlineMetals</x:v>
      </x:c>
      <x:c r="I43" s="6" t="str">
        <x:v>https://www.onlinemetals.com/en/buy/aluminum/1-5-x-2-aluminum-rectangle-bar-6061-t6511-extruded/pid/7019</x:v>
      </x:c>
      <x:c r="J43" s="6" t="str">
        <x:v>Six clevis blanks40x48x32; cut40axis length;240+18kerf+10trim=268&lt;304.8. Ball-width or linkage redesign changes these. Posted goods price; delivery unquoted</x:v>
      </x:c>
      <x:c r="K43" s="2"/>
    </x:row>
    <x:row r="44" ht="78" customHeight="1">
      <x:c r="A44" s="6" t="str">
        <x:v>MET12</x:v>
      </x:c>
      <x:c r="B44" s="6" t="str">
        <x:v>Motion</x:v>
      </x:c>
      <x:c r="C44" s="6" t="str">
        <x:v>6061-T6511 square bar 2 x 2 x 12 in; OnlineMetals1120</x:v>
      </x:c>
      <x:c r="D44" s="10" t="n">
        <x:v>1</x:v>
      </x:c>
      <x:c r="E44" s="10" t="str">
        <x:v>stock piece</x:v>
      </x:c>
      <x:c r="F44" s="11" t="n">
        <x:v>71.07</x:v>
      </x:c>
      <x:c r="G44" s="8" t="n">
        <x:f>ROUND(D44*F44,2)</x:f>
        <x:v>71.07</x:v>
      </x:c>
      <x:c r="H44" s="6" t="str">
        <x:v>OnlineMetals</x:v>
      </x:c>
      <x:c r="I44" s="6" t="str">
        <x:v>https://www.onlinemetals.com/en/buy/aluminum/2-aluminum-square-bar-6061-t6511-extruded/pid/1120</x:v>
      </x:c>
      <x:c r="J44" s="6" t="str">
        <x:v>Two spindle clamp halves 100x45.25x40 and 100x44.75x40 plus 65x48x19.05 X drive shoe. Length needed 284mm including three 3mm kerfs and 10mm trim, versus 301.625mm minimum at published length tolerance. Cross section minimum 50.1904mm exceeds 48mm maximum part width. Same alloy/temper and geometry as prior blank; see COSTDOWN-DECISION.md. Current exact 12in offer checked 24 Sep 2026: $71.07 for one. Replaces $102.42 BuyMetal source; goods saving $31.35. Delivery and tax unquoted.</x:v>
      </x:c>
      <x:c r="K44" s="2"/>
    </x:row>
    <x:row r="45" ht="78" customHeight="1">
      <x:c r="A45" s="6" t="str">
        <x:v>MET13</x:v>
      </x:c>
      <x:c r="B45" s="6" t="str">
        <x:v>Chassis</x:v>
      </x:c>
      <x:c r="C45" s="6" t="str">
        <x:v>A36 plate1/4 x24 x48 in; OnlineMetals9610</x:v>
      </x:c>
      <x:c r="D45" s="10" t="n">
        <x:v>1</x:v>
      </x:c>
      <x:c r="E45" s="10" t="str">
        <x:v>stock piece</x:v>
      </x:c>
      <x:c r="F45" s="11" t="n">
        <x:v>175.24</x:v>
      </x:c>
      <x:c r="G45" s="8" t="n">
        <x:f>ROUND(D45*F45,2)</x:f>
        <x:v>175.24</x:v>
      </x:c>
      <x:c r="H45" s="6" t="str">
        <x:v>OnlineMetals</x:v>
      </x:c>
      <x:c r="I45" s="6" t="str">
        <x:v>https://www.onlinemetals.com/en/buy/carbon-steel/0-25-carbon-steel-plate-a36-hot-rolled/pid/9610</x:v>
      </x:c>
      <x:c r="J45" s="6" t="str">
        <x:v>96 original nominal6mm flats after separating2spacers; add2toolcradles and9motionstopplate blanks. Updated107piece layout passes. Mainparts finish6mm where specified; Ystop bases/posts remain6.35mm, Xswitch arm finishes5mm. No extra sheet for those missing flats. Posted goods price; delivery unquoted</x:v>
      </x:c>
      <x:c r="K45" s="2"/>
    </x:row>
    <x:row r="46" ht="78" customHeight="1">
      <x:c r="A46" s="6" t="str">
        <x:v>MET14</x:v>
      </x:c>
      <x:c r="B46" s="6" t="str">
        <x:v>Chassis</x:v>
      </x:c>
      <x:c r="C46" s="6" t="str">
        <x:v>A36 plate3/8 x12 x24 in; ShapiroSupply</x:v>
      </x:c>
      <x:c r="D46" s="10" t="n">
        <x:v>1</x:v>
      </x:c>
      <x:c r="E46" s="10" t="str">
        <x:v>stock piece</x:v>
      </x:c>
      <x:c r="F46" s="11" t="n">
        <x:v>66</x:v>
      </x:c>
      <x:c r="G46" s="8" t="n">
        <x:f>ROUND(D46*F46,2)</x:f>
        <x:v>66</x:v>
      </x:c>
      <x:c r="H46" s="6" t="str">
        <x:v>Shapiro Supply</x:v>
      </x:c>
      <x:c r="I46" s="6" t="str">
        <x:v>https://www.shapirosupply.com/steel-hot-cold-galvanized/sheet-and-plate/sheet-and-plate/mild-steel-sheets-and-plates/3-8-375</x:v>
      </x:c>
      <x:c r="J46" s="6" t="str">
        <x:v>Twelve80wide hangers/endplates, finish thickness8mm from9.525; do not substitute5/16in(7.9375mm). Posted goods price; delivery unquoted</x:v>
      </x:c>
      <x:c r="K46" s="2"/>
    </x:row>
    <x:row r="47" ht="78" customHeight="1">
      <x:c r="A47" s="6" t="str">
        <x:v>MET15</x:v>
      </x:c>
      <x:c r="B47" s="6" t="str">
        <x:v>Chassis</x:v>
      </x:c>
      <x:c r="C47" s="6" t="str">
        <x:v>A36 plate1/2 x12 x12 in; HarnessSteel/Bonanza</x:v>
      </x:c>
      <x:c r="D47" s="10" t="n">
        <x:v>1</x:v>
      </x:c>
      <x:c r="E47" s="10" t="str">
        <x:v>stock piece</x:v>
      </x:c>
      <x:c r="F47" s="11" t="n">
        <x:v>23.5</x:v>
      </x:c>
      <x:c r="G47" s="8" t="n">
        <x:f>ROUND(D47*F47,2)</x:f>
        <x:v>23.5</x:v>
      </x:c>
      <x:c r="H47" s="6" t="str">
        <x:v>Harness Steel / Bonanza</x:v>
      </x:c>
      <x:c r="I47" s="6" t="str">
        <x:v>https://www.bonanza.com/listings/1-2-50-Hot-Rolled-Steel-Sheet-Plate-12-X-12-Flat-Bar-A36/954557774?goog_pla=1</x:v>
      </x:c>
      <x:c r="J47" s="6" t="str">
        <x:v>Six80x80 footpads in3x2array fit with6mmspacing10mmedges. Posted goods and US shipping; Alto-specific arrival not confirmed</x:v>
      </x:c>
      <x:c r="K47" s="2"/>
    </x:row>
    <x:row r="48" ht="78" customHeight="1">
      <x:c r="A48" s="6" t="str">
        <x:v>HW-N1</x:v>
      </x:c>
      <x:c r="B48" s="6" t="str">
        <x:v>Standard hardware</x:v>
      </x:c>
      <x:c r="C48" s="6" t="str">
        <x:v>M5 x 0.8 DIN 562 thin square nut</x:v>
      </x:c>
      <x:c r="D48" s="10" t="n">
        <x:v>260</x:v>
      </x:c>
      <x:c r="E48" s="10" t="str">
        <x:v>each</x:v>
      </x:c>
      <x:c r="F48" s="12" t="n">
        <x:v>0.076</x:v>
      </x:c>
      <x:c r="G48" s="8" t="n">
        <x:f>ROUND(D48*F48,2)</x:f>
        <x:v>19.76</x:v>
      </x:c>
      <x:c r="H48" s="6" t="str">
        <x:v>Nutty</x:v>
      </x:c>
      <x:c r="I48" s="6" t="str">
        <x:v>https://www.nutty.com/m5-x-8-stainless-metric-square-nut-thin/</x:v>
      </x:c>
      <x:c r="J48" s="6" t="str">
        <x:v>Current design: receive-check 8 x 8 x 2.7 mm maximum.</x:v>
      </x:c>
      <x:c r="K48" s="2"/>
    </x:row>
    <x:row r="49" ht="78" customHeight="1">
      <x:c r="A49" s="6" t="str">
        <x:v>HW-N2</x:v>
      </x:c>
      <x:c r="B49" s="6" t="str">
        <x:v>Standard hardware</x:v>
      </x:c>
      <x:c r="C49" s="6" t="str">
        <x:v>M5 x 12 DIN 7991 class 12.9 flat socket screw</x:v>
      </x:c>
      <x:c r="D49" s="10" t="n">
        <x:v>120</x:v>
      </x:c>
      <x:c r="E49" s="10" t="str">
        <x:v>each</x:v>
      </x:c>
      <x:c r="F49" s="12" t="n">
        <x:v>0.103</x:v>
      </x:c>
      <x:c r="G49" s="8" t="n">
        <x:f>ROUND(D49*F49,2)</x:f>
        <x:v>12.36</x:v>
      </x:c>
      <x:c r="H49" s="6" t="str">
        <x:v>Nutty</x:v>
      </x:c>
      <x:c r="I49" s="6" t="str">
        <x:v>https://www.nutty.com/m5-x-0-80-x-12-ft-flat-head-socket-cap-screws-12-9-din-7991-blk-ox/</x:v>
      </x:c>
      <x:c r="J49" s="6" t="str">
        <x:v>Current dimensional fit; retain specified assembly torque, do not raise torque to class 12.9 capability.</x:v>
      </x:c>
      <x:c r="K49" s="2"/>
    </x:row>
    <x:row r="50" ht="78" customHeight="1">
      <x:c r="A50" s="6" t="str">
        <x:v>HW-N3</x:v>
      </x:c>
      <x:c r="B50" s="6" t="str">
        <x:v>Standard hardware</x:v>
      </x:c>
      <x:c r="C50" s="6" t="str">
        <x:v>M5 x 20 DIN 7991 class 12.9 MDF screws</x:v>
      </x:c>
      <x:c r="D50" s="10" t="n">
        <x:v>60</x:v>
      </x:c>
      <x:c r="E50" s="10" t="str">
        <x:v>each</x:v>
      </x:c>
      <x:c r="F50" s="12" t="n">
        <x:v>0.155</x:v>
      </x:c>
      <x:c r="G50" s="8" t="n">
        <x:f>ROUND(D50*F50,2)</x:f>
        <x:v>9.3</x:v>
      </x:c>
      <x:c r="H50" s="6" t="str">
        <x:v>Nutty</x:v>
      </x:c>
      <x:c r="I50" s="6" t="str">
        <x:v>https://www.nutty.com/m5-x-0-80-x-20-ft-flat-head-socket-cap-screws-12-9-din-7991-blk-ox/</x:v>
      </x:c>
      <x:c r="J50" s="6" t="str">
        <x:v>Current dimensional fit. Square nuts already in H05.</x:v>
      </x:c>
      <x:c r="K50" s="2"/>
    </x:row>
    <x:row r="51" ht="78" customHeight="1">
      <x:c r="A51" s="6" t="str">
        <x:v>HW-N4</x:v>
      </x:c>
      <x:c r="B51" s="6" t="str">
        <x:v>Standard hardware</x:v>
      </x:c>
      <x:c r="C51" s="6" t="str">
        <x:v>M8 x 16 DIN 912 class 12.9 socket screws</x:v>
      </x:c>
      <x:c r="D51" s="10" t="n">
        <x:v>40</x:v>
      </x:c>
      <x:c r="E51" s="10" t="str">
        <x:v>each</x:v>
      </x:c>
      <x:c r="F51" s="12" t="n">
        <x:v>0.214</x:v>
      </x:c>
      <x:c r="G51" s="8" t="n">
        <x:f>ROUND(D51*F51,2)</x:f>
        <x:v>8.56</x:v>
      </x:c>
      <x:c r="H51" s="6" t="str">
        <x:v>Nutty</x:v>
      </x:c>
      <x:c r="I51" s="6" t="str">
        <x:v>https://www.nutty.com/m8-x-1-25-x-16-socket-head-cap-screw-12-9-din-912-blk-ox/</x:v>
      </x:c>
      <x:c r="J51" s="6" t="str">
        <x:v>24 frame/pan plus 16 motion. Standard geometry; retain design torque. Direct product price is higher than stale category $0.194.</x:v>
      </x:c>
      <x:c r="K51" s="2"/>
    </x:row>
    <x:row r="52" ht="78" customHeight="1">
      <x:c r="A52" s="6" t="str">
        <x:v>HW-N5</x:v>
      </x:c>
      <x:c r="B52" s="6" t="str">
        <x:v>Standard hardware</x:v>
      </x:c>
      <x:c r="C52" s="6" t="str">
        <x:v>M8 x 80 DIN 912 class 12.9 beam drawdown screws</x:v>
      </x:c>
      <x:c r="D52" s="10" t="n">
        <x:v>16</x:v>
      </x:c>
      <x:c r="E52" s="10" t="str">
        <x:v>each</x:v>
      </x:c>
      <x:c r="F52" s="12" t="n">
        <x:v>0.678</x:v>
      </x:c>
      <x:c r="G52" s="8" t="n">
        <x:f>ROUND(D52*F52,2)</x:f>
        <x:v>10.85</x:v>
      </x:c>
      <x:c r="H52" s="6" t="str">
        <x:v>Nutty</x:v>
      </x:c>
      <x:c r="I52" s="6" t="str">
        <x:v>https://www.nutty.com/m8-x-1-25-x-80-socket-head-cap-screw-12-9-din-912-blk-ox/</x:v>
      </x:c>
      <x:c r="J52" s="6" t="str">
        <x:v>Current geometry; standard partial thread runs through tube sleeve and engages nut at end. Do not increase design torque.</x:v>
      </x:c>
      <x:c r="K52" s="2"/>
    </x:row>
    <x:row r="53" ht="78" customHeight="1">
      <x:c r="A53" s="6" t="str">
        <x:v>HW-W1</x:v>
      </x:c>
      <x:c r="B53" s="6" t="str">
        <x:v>Standard hardware</x:v>
      </x:c>
      <x:c r="C53" s="6" t="str">
        <x:v>M5 DIN 7349 steel washer 15 OD x 5.3 ID x 2</x:v>
      </x:c>
      <x:c r="D53" s="10" t="n">
        <x:v>60</x:v>
      </x:c>
      <x:c r="E53" s="10" t="str">
        <x:v>each</x:v>
      </x:c>
      <x:c r="F53" s="12" t="n">
        <x:v>0.66</x:v>
      </x:c>
      <x:c r="G53" s="8" t="n">
        <x:f>ROUND(D53*F53,2)</x:f>
        <x:v>39.6</x:v>
      </x:c>
      <x:c r="H53" s="6" t="str">
        <x:v>Norelem</x:v>
      </x:c>
      <x:c r="I53" s="6" t="str">
        <x:v>https://www.norelemusa.com/en-us/Product-Overview/Flexible-standard-component-system/07000/Nuts-screws-washers-securing-elements/Washers-DIN-7349-for-bolts-with-heavy-duty-clamping-bodies/p/agid.28087</x:v>
      </x:c>
      <x:c r="J53" s="6" t="str">
        <x:v>Exact selected size/material offer; confirm order-level hardness certification per retaining-joint specification. Generic thin fender washer is not equivalent.</x:v>
      </x:c>
      <x:c r="K53" s="2"/>
    </x:row>
    <x:row r="54" ht="78" customHeight="1">
      <x:c r="A54" s="6" t="str">
        <x:v>HW-N7</x:v>
      </x:c>
      <x:c r="B54" s="6" t="str">
        <x:v>Standard hardware</x:v>
      </x:c>
      <x:c r="C54" s="6" t="str">
        <x:v>M3 x 16 socket; finish six to 14 mm</x:v>
      </x:c>
      <x:c r="D54" s="10" t="n">
        <x:v>100</x:v>
      </x:c>
      <x:c r="E54" s="10" t="str">
        <x:v>each</x:v>
      </x:c>
      <x:c r="F54" s="12" t="n">
        <x:v>0.11</x:v>
      </x:c>
      <x:c r="G54" s="8" t="n">
        <x:f>ROUND(D54*F54,2)</x:f>
        <x:v>11</x:v>
      </x:c>
      <x:c r="H54" s="6" t="str">
        <x:v>Nutty</x:v>
      </x:c>
      <x:c r="I54" s="6" t="str">
        <x:v>https://www.nutty.com/m3-x-0-5-x-16-socket-head-cap-screw-12-9-din-912-blk-ox/</x:v>
      </x:c>
      <x:c r="J54" s="6" t="str">
        <x:v>DIN 912 class 12.9. Keep existing design torque; no increase to preload or rated joint load. Owner shorten six to finished 14 mm under head; deburr and chamfer without heat damage.</x:v>
      </x:c>
      <x:c r="K54" s="2"/>
    </x:row>
    <x:row r="55" ht="78" customHeight="1">
      <x:c r="A55" s="6" t="str">
        <x:v>HW-N8</x:v>
      </x:c>
      <x:c r="B55" s="6" t="str">
        <x:v>Standard hardware</x:v>
      </x:c>
      <x:c r="C55" s="6" t="str">
        <x:v>M4 x 10 socket</x:v>
      </x:c>
      <x:c r="D55" s="10" t="n">
        <x:v>100</x:v>
      </x:c>
      <x:c r="E55" s="10" t="str">
        <x:v>each</x:v>
      </x:c>
      <x:c r="F55" s="12" t="n">
        <x:v>0.089</x:v>
      </x:c>
      <x:c r="G55" s="8" t="n">
        <x:f>ROUND(D55*F55,2)</x:f>
        <x:v>8.9</x:v>
      </x:c>
      <x:c r="H55" s="6" t="str">
        <x:v>Nutty</x:v>
      </x:c>
      <x:c r="I55" s="6" t="str">
        <x:v>https://www.nutty.com/m4-x-0-7-x-10-socket-head-cap-screw-12-9-din-912-blk-ox/</x:v>
      </x:c>
      <x:c r="J55" s="6" t="str">
        <x:v>DIN 912 class 12.9. Keep existing design torque; no increase to preload or rated joint load. </x:v>
      </x:c>
      <x:c r="K55" s="2"/>
    </x:row>
    <x:row r="56" ht="78" customHeight="1">
      <x:c r="A56" s="6" t="str">
        <x:v>HW-N9</x:v>
      </x:c>
      <x:c r="B56" s="6" t="str">
        <x:v>Standard hardware</x:v>
      </x:c>
      <x:c r="C56" s="6" t="str">
        <x:v>M4 x 12 socket</x:v>
      </x:c>
      <x:c r="D56" s="10" t="n">
        <x:v>100</x:v>
      </x:c>
      <x:c r="E56" s="10" t="str">
        <x:v>each</x:v>
      </x:c>
      <x:c r="F56" s="12" t="n">
        <x:v>0.089</x:v>
      </x:c>
      <x:c r="G56" s="8" t="n">
        <x:f>ROUND(D56*F56,2)</x:f>
        <x:v>8.9</x:v>
      </x:c>
      <x:c r="H56" s="6" t="str">
        <x:v>Nutty</x:v>
      </x:c>
      <x:c r="I56" s="6" t="str">
        <x:v>https://www.nutty.com/m4-x-0-7-x-12-socket-head-cap-screw-12-9-din-912-blk-ox/</x:v>
      </x:c>
      <x:c r="J56" s="6" t="str">
        <x:v>DIN 912 class 12.9. Keep existing design torque; no increase to preload or rated joint load. </x:v>
      </x:c>
      <x:c r="K56" s="2"/>
    </x:row>
    <x:row r="57" ht="78" customHeight="1">
      <x:c r="A57" s="6" t="str">
        <x:v>HW-N10</x:v>
      </x:c>
      <x:c r="B57" s="6" t="str">
        <x:v>Standard hardware</x:v>
      </x:c>
      <x:c r="C57" s="6" t="str">
        <x:v>M5 x 20 socket; finish 32 to 18 mm</x:v>
      </x:c>
      <x:c r="D57" s="10" t="n">
        <x:v>50</x:v>
      </x:c>
      <x:c r="E57" s="10" t="str">
        <x:v>each</x:v>
      </x:c>
      <x:c r="F57" s="12" t="n">
        <x:v>0.11</x:v>
      </x:c>
      <x:c r="G57" s="8" t="n">
        <x:f>ROUND(D57*F57,2)</x:f>
        <x:v>5.5</x:v>
      </x:c>
      <x:c r="H57" s="6" t="str">
        <x:v>Nutty</x:v>
      </x:c>
      <x:c r="I57" s="6" t="str">
        <x:v>https://www.nutty.com/m5-x-0-8-x-20-socket-head-cap-screw-12-9-din-912-blk-ox/</x:v>
      </x:c>
      <x:c r="J57" s="6" t="str">
        <x:v>DIN 912 class 12.9. Keep existing design torque; no increase to preload or rated joint load. Owner shorten 32 to 18 mm under head. Do not install untrimmed 20 mm in HGH20CA blind taps; 18 mm gives 5.3 mm engagement through 12.7 mm plate.</x:v>
      </x:c>
      <x:c r="K57" s="2"/>
    </x:row>
    <x:row r="58" ht="78" customHeight="1">
      <x:c r="A58" s="6" t="str">
        <x:v>HW-N11</x:v>
      </x:c>
      <x:c r="B58" s="6" t="str">
        <x:v>Standard hardware</x:v>
      </x:c>
      <x:c r="C58" s="6" t="str">
        <x:v>M6 x 20 socket</x:v>
      </x:c>
      <x:c r="D58" s="10" t="n">
        <x:v>50</x:v>
      </x:c>
      <x:c r="E58" s="10" t="str">
        <x:v>each</x:v>
      </x:c>
      <x:c r="F58" s="12" t="n">
        <x:v>0.113</x:v>
      </x:c>
      <x:c r="G58" s="8" t="n">
        <x:f>ROUND(D58*F58,2)</x:f>
        <x:v>5.65</x:v>
      </x:c>
      <x:c r="H58" s="6" t="str">
        <x:v>Nutty</x:v>
      </x:c>
      <x:c r="I58" s="6" t="str">
        <x:v>https://www.nutty.com/m6-x-1-0-x-20-socket-head-cap-screw-12-9-din-912-blk-ox/</x:v>
      </x:c>
      <x:c r="J58" s="6" t="str">
        <x:v>DIN 912 class 12.9. Keep existing design torque; no increase to preload or rated joint load. </x:v>
      </x:c>
      <x:c r="K58" s="2"/>
    </x:row>
    <x:row r="59" ht="78" customHeight="1">
      <x:c r="A59" s="6" t="str">
        <x:v>HW-N12</x:v>
      </x:c>
      <x:c r="B59" s="6" t="str">
        <x:v>Standard hardware</x:v>
      </x:c>
      <x:c r="C59" s="6" t="str">
        <x:v>M6 x 25 socket; eight finished to 22 mm</x:v>
      </x:c>
      <x:c r="D59" s="10" t="n">
        <x:v>50</x:v>
      </x:c>
      <x:c r="E59" s="10" t="str">
        <x:v>each</x:v>
      </x:c>
      <x:c r="F59" s="12" t="n">
        <x:v>0.128</x:v>
      </x:c>
      <x:c r="G59" s="8" t="n">
        <x:f>ROUND(D59*F59,2)</x:f>
        <x:v>6.4</x:v>
      </x:c>
      <x:c r="H59" s="6" t="str">
        <x:v>Nutty</x:v>
      </x:c>
      <x:c r="I59" s="6" t="str">
        <x:v>https://www.nutty.com/m6-x-1-0-x-25-socket-head-cap-screw-12-9-din-912-blk-ox/</x:v>
      </x:c>
      <x:c r="J59" s="6" t="str">
        <x:v>DIN 912 class 12.9. Keep existing design torque; no increase to preload or rated joint load. Use eight at 25 mm and shorten eight to 22 mm under head.</x:v>
      </x:c>
      <x:c r="K59" s="2"/>
    </x:row>
    <x:row r="60" ht="78" customHeight="1">
      <x:c r="A60" s="6" t="str">
        <x:v>HW-N13</x:v>
      </x:c>
      <x:c r="B60" s="6" t="str">
        <x:v>Standard hardware</x:v>
      </x:c>
      <x:c r="C60" s="6" t="str">
        <x:v>M6 x 60 socket; four finished to 55 mm</x:v>
      </x:c>
      <x:c r="D60" s="10" t="n">
        <x:v>25</x:v>
      </x:c>
      <x:c r="E60" s="10" t="str">
        <x:v>each</x:v>
      </x:c>
      <x:c r="F60" s="12" t="n">
        <x:v>0.327</x:v>
      </x:c>
      <x:c r="G60" s="8" t="n">
        <x:f>ROUND(D60*F60,2)</x:f>
        <x:v>8.18</x:v>
      </x:c>
      <x:c r="H60" s="6" t="str">
        <x:v>Nutty</x:v>
      </x:c>
      <x:c r="I60" s="6" t="str">
        <x:v>https://www.nutty.com/m6-x-1-0-x-60-socket-head-cap-screw-12-9-din-912-blk-ox/</x:v>
      </x:c>
      <x:c r="J60" s="6" t="str">
        <x:v>DIN 912 class 12.9. Keep existing design torque; no increase to preload or rated joint load. Use two spindle pinch screws at 60 mm; shorten four to 55 mm under head.</x:v>
      </x:c>
      <x:c r="K60" s="2"/>
    </x:row>
    <x:row r="61" ht="78" customHeight="1">
      <x:c r="A61" s="6" t="str">
        <x:v>HW-N14</x:v>
      </x:c>
      <x:c r="B61" s="6" t="str">
        <x:v>Standard hardware</x:v>
      </x:c>
      <x:c r="C61" s="6" t="str">
        <x:v>M4 x 8 ISO7380 class 12.9 button screw</x:v>
      </x:c>
      <x:c r="D61" s="10" t="n">
        <x:v>50</x:v>
      </x:c>
      <x:c r="E61" s="10" t="str">
        <x:v>each</x:v>
      </x:c>
      <x:c r="F61" s="12" t="n">
        <x:v>0.115</x:v>
      </x:c>
      <x:c r="G61" s="8" t="n">
        <x:f>ROUND(D61*F61,2)</x:f>
        <x:v>5.75</x:v>
      </x:c>
      <x:c r="H61" s="6" t="str">
        <x:v>Nutty</x:v>
      </x:c>
      <x:c r="I61" s="6" t="str">
        <x:v>https://www.nutty.com/m4-x-0-70-x-8-ft-button-head-socket-cap-12-9-iso-7380-blk-ox/</x:v>
      </x:c>
      <x:c r="J61" s="6" t="str">
        <x:v>Exact M4x0.7x8 ISO7380 class12.9 standard size and head type; retain original design torque.</x:v>
      </x:c>
      <x:c r="K61" s="2"/>
    </x:row>
    <x:row r="62" ht="78" customHeight="1">
      <x:c r="A62" s="6" t="str">
        <x:v>HW-N15</x:v>
      </x:c>
      <x:c r="B62" s="6" t="str">
        <x:v>Standard hardware</x:v>
      </x:c>
      <x:c r="C62" s="6" t="str">
        <x:v>M16 x 2 DIN934 class 8 nut</x:v>
      </x:c>
      <x:c r="D62" s="10" t="n">
        <x:v>12</x:v>
      </x:c>
      <x:c r="E62" s="10" t="str">
        <x:v>each</x:v>
      </x:c>
      <x:c r="F62" s="12" t="n">
        <x:v>0.279</x:v>
      </x:c>
      <x:c r="G62" s="8" t="n">
        <x:f>ROUND(D62*F62,2)</x:f>
        <x:v>3.35</x:v>
      </x:c>
      <x:c r="H62" s="6" t="str">
        <x:v>Nutty</x:v>
      </x:c>
      <x:c r="I62" s="6" t="str">
        <x:v>https://www.nutty.com/m16-2-00-hex-nut-cl-8-din-934-coarse-plated/</x:v>
      </x:c>
      <x:c r="J62" s="6" t="str">
        <x:v>Current design class 8, 24 AF x 13 mm. Keep original class 8.8 assembly capacity/torque; do not exploit the stronger replacement bolt.</x:v>
      </x:c>
      <x:c r="K62" s="2"/>
    </x:row>
    <x:row r="63" ht="78" customHeight="1">
      <x:c r="A63" s="6" t="str">
        <x:v>HW-N16</x:v>
      </x:c>
      <x:c r="B63" s="6" t="str">
        <x:v>Standard hardware</x:v>
      </x:c>
      <x:c r="C63" s="6" t="str">
        <x:v>M5 x 0.8 DIN934 class 8 full nuts</x:v>
      </x:c>
      <x:c r="D63" s="10" t="n">
        <x:v>120</x:v>
      </x:c>
      <x:c r="E63" s="10" t="str">
        <x:v>each</x:v>
      </x:c>
      <x:c r="F63" s="12" t="n">
        <x:v>0.012</x:v>
      </x:c>
      <x:c r="G63" s="8" t="n">
        <x:f>ROUND(D63*F63,2)</x:f>
        <x:v>1.44</x:v>
      </x:c>
      <x:c r="H63" s="6" t="str">
        <x:v>Nutty</x:v>
      </x:c>
      <x:c r="I63" s="6" t="str">
        <x:v>https://www.nutty.com/m5-0-80-hex-nut-cl-8-din-934-coarse-plated/</x:v>
      </x:c>
      <x:c r="J63" s="6" t="str">
        <x:v>Exact steel class 8 replacement for prior conditional A2 offer. Two full nuts per stud; not thin DIN439 jam nuts.</x:v>
      </x:c>
      <x:c r="K63" s="2"/>
    </x:row>
    <x:row r="64" ht="78" customHeight="1">
      <x:c r="A64" s="6" t="str">
        <x:v>HW-N17</x:v>
      </x:c>
      <x:c r="B64" s="6" t="str">
        <x:v>Standard hardware</x:v>
      </x:c>
      <x:c r="C64" s="6" t="str">
        <x:v>M6 x 1 DIN934 class 8 nuts</x:v>
      </x:c>
      <x:c r="D64" s="10" t="n">
        <x:v>11</x:v>
      </x:c>
      <x:c r="E64" s="10" t="str">
        <x:v>each</x:v>
      </x:c>
      <x:c r="F64" s="12" t="n">
        <x:v>0.02</x:v>
      </x:c>
      <x:c r="G64" s="8" t="n">
        <x:f>ROUND(D64*F64,2)</x:f>
        <x:v>0.22</x:v>
      </x:c>
      <x:c r="H64" s="6" t="str">
        <x:v>Nutty</x:v>
      </x:c>
      <x:c r="I64" s="6" t="str">
        <x:v>https://www.nutty.com/m6-1-00-hex-nut-cl-8-din-934-coarse-plated/</x:v>
      </x:c>
      <x:c r="J64" s="6" t="str">
        <x:v>Eight ordinary motion nuts plus three right-hand link nuts; 10 AF x 5 mm.</x:v>
      </x:c>
      <x:c r="K64" s="2"/>
    </x:row>
    <x:row r="65" ht="78" customHeight="1">
      <x:c r="A65" s="6" t="str">
        <x:v>HW-B1</x:v>
      </x:c>
      <x:c r="B65" s="6" t="str">
        <x:v>Standard hardware</x:v>
      </x:c>
      <x:c r="C65" s="6" t="str">
        <x:v>M16 x 2 x 100 DIN933 fully threaded hex bolt, class 10.9 black</x:v>
      </x:c>
      <x:c r="D65" s="10" t="n">
        <x:v>6</x:v>
      </x:c>
      <x:c r="E65" s="10" t="str">
        <x:v>each</x:v>
      </x:c>
      <x:c r="F65" s="11" t="n">
        <x:v>5.48</x:v>
      </x:c>
      <x:c r="G65" s="8" t="n">
        <x:f>ROUND(D65*F65,2)</x:f>
        <x:v>32.88</x:v>
      </x:c>
      <x:c r="H65" s="6" t="str">
        <x:v>BelMetric</x:v>
      </x:c>
      <x:c r="I65" s="6" t="str">
        <x:v>https://belmetric.com/hex-bolts-10-9-m16x2-0-coarse-din-931-933/?sku=BH16X100FBLK</x:v>
      </x:c>
      <x:c r="J65" s="6" t="str">
        <x:v>Exact thread/length/head envelope, stronger bolt than design class 8.8. Retain original lower class 8 nut/joint load and tightening limit; seller recommends class 10 nuts for exploiting full 10.9 bolt capability. Receive-check full thread.</x:v>
      </x:c>
      <x:c r="K65" s="2"/>
    </x:row>
    <x:row r="66" ht="78" customHeight="1">
      <x:c r="A66" s="6" t="str">
        <x:v>HW-B2</x:v>
      </x:c>
      <x:c r="B66" s="6" t="str">
        <x:v>Standard hardware</x:v>
      </x:c>
      <x:c r="C66" s="6" t="str">
        <x:v>M6 x 1 left-hand DIN934 class 8 nut</x:v>
      </x:c>
      <x:c r="D66" s="10" t="n">
        <x:v>3</x:v>
      </x:c>
      <x:c r="E66" s="10" t="str">
        <x:v>each</x:v>
      </x:c>
      <x:c r="F66" s="12" t="n">
        <x:v>0.3</x:v>
      </x:c>
      <x:c r="G66" s="8" t="n">
        <x:f>ROUND(D66*F66,2)</x:f>
        <x:v>0.9</x:v>
      </x:c>
      <x:c r="H66" s="6" t="str">
        <x:v>BelMetric</x:v>
      </x:c>
      <x:c r="I66" s="6" t="str">
        <x:v>https://belmetric.com/m4-m20-coarse-hex-nut-left-hand-steel-din-934/?sku=NL6CLZ</x:v>
      </x:c>
      <x:c r="J66" s="6" t="str">
        <x:v>Official drawing confirms class 8, LEFT M6x1, 10 AF x 5 mm; matches frozen nut envelope.</x:v>
      </x:c>
      <x:c r="K66" s="2"/>
    </x:row>
    <x:row r="67" ht="78" customHeight="1">
      <x:c r="A67" s="6" t="str">
        <x:v>HW-FM1</x:v>
      </x:c>
      <x:c r="B67" s="6" t="str">
        <x:v>Standard hardware</x:v>
      </x:c>
      <x:c r="C67" s="6" t="str">
        <x:v>M5 x 0.8 shoulder bolt, shoulder diameter 6 x length 20, ISO7379 class 12.9</x:v>
      </x:c>
      <x:c r="D67" s="10" t="n">
        <x:v>1</x:v>
      </x:c>
      <x:c r="E67" s="10" t="str">
        <x:v>pack of 25</x:v>
      </x:c>
      <x:c r="F67" s="11" t="n">
        <x:v>17.4</x:v>
      </x:c>
      <x:c r="G67" s="8" t="n">
        <x:f>ROUND(D67*F67,2)</x:f>
        <x:v>17.4</x:v>
      </x:c>
      <x:c r="H67" s="6" t="str">
        <x:v>Fastener Mart</x:v>
      </x:c>
      <x:c r="I67" s="6" t="str">
        <x:v>https://www.fastenermart.com/BJA618-610.html</x:v>
      </x:c>
      <x:c r="J67" s="6" t="str">
        <x:v>Correct shoulder diameter and length for current SKF clevis. Full 25-piece pack cash price; 19 spares. Current opened page $17.40 supersedes older cached $16.13.</x:v>
      </x:c>
      <x:c r="K67" s="2"/>
    </x:row>
    <x:row r="68" ht="78" customHeight="1">
      <x:c r="A68" s="6" t="str">
        <x:v>CA-01</x:v>
      </x:c>
      <x:c r="B68" s="6" t="str">
        <x:v>Controls and water wiring</x:v>
      </x:c>
      <x:c r="C68" s="6" t="str">
        <x:v>GCX1470-22 keyed three-position selector</x:v>
      </x:c>
      <x:c r="D68" s="10" t="n">
        <x:v>1</x:v>
      </x:c>
      <x:c r="E68" s="10" t="str">
        <x:v>pack / each</x:v>
      </x:c>
      <x:c r="F68" s="11" t="n">
        <x:v>34.5</x:v>
      </x:c>
      <x:c r="G68" s="8" t="n">
        <x:f>ROUND(D68*F68,2)</x:f>
        <x:v>34.5</x:v>
      </x:c>
      <x:c r="H68" s="6" t="str">
        <x:v>AutomationDirect</x:v>
      </x:c>
      <x:c r="I68" s="6" t="str">
        <x:v>https://www.automationdirect.com/adc/shopping/catalog/pushbuttons_-z-_switches_-z-_indicators/selector_switches/gcx1470-22</x:v>
      </x:c>
      <x:c r="J68" s="6" t="str">
        <x:v>22 mm; four supplied blocks are 2 NO + 2 NC. Replace both NC blocks with the two CA-02 NO blocks; use two stacked NO per actuated side for R1/R2 and P1/P2. Verify center-off and mutually exclusive closure against manufacturer cam chart; key is removable in every position. Reuse the two removed NC blocks on CA-03; not discarded.</x:v>
      </x:c>
      <x:c r="K68" s="2"/>
    </x:row>
    <x:row r="69" ht="78" customHeight="1">
      <x:c r="A69" s="6" t="str">
        <x:v>CA-02</x:v>
      </x:c>
      <x:c r="B69" s="6" t="str">
        <x:v>Controls and water wiring</x:v>
      </x:c>
      <x:c r="C69" s="6" t="str">
        <x:v>ECX1040-2 normally-open contact blocks, pack of two</x:v>
      </x:c>
      <x:c r="D69" s="10" t="n">
        <x:v>1</x:v>
      </x:c>
      <x:c r="E69" s="10" t="str">
        <x:v>pack / each</x:v>
      </x:c>
      <x:c r="F69" s="11" t="n">
        <x:v>8.75</x:v>
      </x:c>
      <x:c r="G69" s="8" t="n">
        <x:f>ROUND(D69*F69,2)</x:f>
        <x:v>8.75</x:v>
      </x:c>
      <x:c r="H69" s="6" t="str">
        <x:v>AutomationDirect</x:v>
      </x:c>
      <x:c r="I69" s="6" t="str">
        <x:v>https://www.automationdirect.com/adc/shopping/catalog/pushbuttons_-z-_switches_-z-_indicators/pushbutton_-z-_switch_-z-_indicator_accessories/contact_blocks_-z-_mounting_flanges/ecx1040-2</x:v>
      </x:c>
      <x:c r="J69" s="6" t="str">
        <x:v>Two additional NO contacts for CA-01; manufacturer allows three blocks deep by two wide. </x:v>
      </x:c>
      <x:c r="K69" s="2"/>
    </x:row>
    <x:row r="70" ht="78" customHeight="1">
      <x:c r="A70" s="6" t="str">
        <x:v>CA-03</x:v>
      </x:c>
      <x:c r="B70" s="6" t="str">
        <x:v>Controls and water wiring</x:v>
      </x:c>
      <x:c r="C70" s="6" t="str">
        <x:v>GCX1300 maintained two-position selector with one NO contact</x:v>
      </x:c>
      <x:c r="D70" s="10" t="n">
        <x:v>2</x:v>
      </x:c>
      <x:c r="E70" s="10" t="str">
        <x:v>pack / each</x:v>
      </x:c>
      <x:c r="F70" s="11" t="n">
        <x:v>12</x:v>
      </x:c>
      <x:c r="G70" s="8" t="n">
        <x:f>ROUND(D70*F70,2)</x:f>
        <x:v>24</x:v>
      </x:c>
      <x:c r="H70" s="6" t="str">
        <x:v>AutomationDirect</x:v>
      </x:c>
      <x:c r="I70" s="6" t="str">
        <x:v>https://www.automationdirect.com/adc/shopping/catalog/pushbuttons_-z-_switches_-z-_indicators/selector_switches/gcx1300</x:v>
      </x:c>
      <x:c r="J70" s="6" t="str">
        <x:v>SETUP/RUN and AUTO/DRAIN; add one recovered NC contact from CA-01 to each for the complementary contact. Final panel labels and a drain-override guard still needed.</x:v>
      </x:c>
      <x:c r="K70" s="2"/>
    </x:row>
    <x:row r="71" ht="78" customHeight="1">
      <x:c r="A71" s="6" t="str">
        <x:v>CA-04</x:v>
      </x:c>
      <x:c r="B71" s="6" t="str">
        <x:v>Controls and water wiring</x:v>
      </x:c>
      <x:c r="C71" s="6" t="str">
        <x:v>GCX1102 green momentary pushbutton with protective ring and NO contact</x:v>
      </x:c>
      <x:c r="D71" s="10" t="n">
        <x:v>2</x:v>
      </x:c>
      <x:c r="E71" s="10" t="str">
        <x:v>pack / each</x:v>
      </x:c>
      <x:c r="F71" s="11" t="n">
        <x:v>9</x:v>
      </x:c>
      <x:c r="G71" s="8" t="n">
        <x:f>ROUND(D71*F71,2)</x:f>
        <x:v>18</x:v>
      </x:c>
      <x:c r="H71" s="6" t="str">
        <x:v>AutomationDirect</x:v>
      </x:c>
      <x:c r="I71" s="6" t="str">
        <x:v>https://www.automationdirect.com/adc/shopping/catalog/pushbuttons_-z-_switches_-z-_indicators/pushbuttons?searchStatus=bad</x:v>
      </x:c>
      <x:c r="J71" s="6" t="str">
        <x:v>One CYCLE START; one FILL. Add CA-07 NC contact to FILL for release-to-rearm. Verify FILL contact operating order with selected stacked block; a flush protective ring is not a hinged guard.</x:v>
      </x:c>
      <x:c r="K71" s="2"/>
    </x:row>
    <x:row r="72" ht="78" customHeight="1">
      <x:c r="A72" s="6" t="str">
        <x:v>CA-05</x:v>
      </x:c>
      <x:c r="B72" s="6" t="str">
        <x:v>Controls and water wiring</x:v>
      </x:c>
      <x:c r="C72" s="6" t="str">
        <x:v>GCX1104 blue momentary reset pushbutton, NO</x:v>
      </x:c>
      <x:c r="D72" s="10" t="n">
        <x:v>1</x:v>
      </x:c>
      <x:c r="E72" s="10" t="str">
        <x:v>pack / each</x:v>
      </x:c>
      <x:c r="F72" s="11" t="n">
        <x:v>9</x:v>
      </x:c>
      <x:c r="G72" s="8" t="n">
        <x:f>ROUND(D72*F72,2)</x:f>
        <x:v>9</x:v>
      </x:c>
      <x:c r="H72" s="6" t="str">
        <x:v>AutomationDirect</x:v>
      </x:c>
      <x:c r="I72" s="6" t="str">
        <x:v>https://www.automationdirect.com/adc/shopping/catalog/pushbuttons_-z-_switches_-z-_indicators/pushbuttons?searchStatus=bad</x:v>
      </x:c>
      <x:c r="J72" s="6" t="str">
        <x:v>Deliberate machine reset input. Final stop-chain reset wiring remains open.</x:v>
      </x:c>
      <x:c r="K72" s="2"/>
    </x:row>
    <x:row r="73" ht="78" customHeight="1">
      <x:c r="A73" s="6" t="str">
        <x:v>CA-06</x:v>
      </x:c>
      <x:c r="B73" s="6" t="str">
        <x:v>Controls and water wiring</x:v>
      </x:c>
      <x:c r="C73" s="6" t="str">
        <x:v>GCX1101 red momentary pushbutton, NC</x:v>
      </x:c>
      <x:c r="D73" s="10" t="n">
        <x:v>2</x:v>
      </x:c>
      <x:c r="E73" s="10" t="str">
        <x:v>pack / each</x:v>
      </x:c>
      <x:c r="F73" s="11" t="n">
        <x:v>9</x:v>
      </x:c>
      <x:c r="G73" s="8" t="n">
        <x:f>ROUND(D73*F73,2)</x:f>
        <x:v>18</x:v>
      </x:c>
      <x:c r="H73" s="6" t="str">
        <x:v>AutomationDirect</x:v>
      </x:c>
      <x:c r="I73" s="6" t="str">
        <x:v>https://www.automationdirect.com/adc/shopping/catalog/pushbuttons_-z-_switches_-z-_indicators/pushbuttons?searchStatus=bad</x:v>
      </x:c>
      <x:c r="J73" s="6" t="str">
        <x:v>One FEED HOLD; one WATER STOP. Distinct functions; does not replace the latching E-stop. </x:v>
      </x:c>
      <x:c r="K73" s="2"/>
    </x:row>
    <x:row r="74" ht="78" customHeight="1">
      <x:c r="A74" s="6" t="str">
        <x:v>CA-07</x:v>
      </x:c>
      <x:c r="B74" s="6" t="str">
        <x:v>Controls and water wiring</x:v>
      </x:c>
      <x:c r="C74" s="6" t="str">
        <x:v>ECX1030-2 normally-closed contact blocks, pack of two</x:v>
      </x:c>
      <x:c r="D74" s="10" t="n">
        <x:v>1</x:v>
      </x:c>
      <x:c r="E74" s="10" t="str">
        <x:v>pack / each</x:v>
      </x:c>
      <x:c r="F74" s="11" t="n">
        <x:v>8.75</x:v>
      </x:c>
      <x:c r="G74" s="8" t="n">
        <x:f>ROUND(D74*F74,2)</x:f>
        <x:v>8.75</x:v>
      </x:c>
      <x:c r="H74" s="6" t="str">
        <x:v>AutomationDirect</x:v>
      </x:c>
      <x:c r="I74" s="6" t="str">
        <x:v>https://www.automationdirect.com/adc/shopping/catalog/pushbuttons_-z-_switches_-z-_indicators/pushbutton_-z-_switch_-z-_indicator_accessories/contact_blocks_-z-_mounting_flanges/ecx1030-2</x:v>
      </x:c>
      <x:c r="J74" s="6" t="str">
        <x:v>One additional NC for FILL; one for a second E-stop channel if the final E-stop uses this family. Page says backordered, earliest 2026-10-02; date not guaranteed. E-stop exact operator is not priced in this audit.</x:v>
      </x:c>
      <x:c r="K74" s="2"/>
    </x:row>
    <x:row r="75" ht="78" customHeight="1">
      <x:c r="A75" s="6" t="str">
        <x:v>CA-08</x:v>
      </x:c>
      <x:c r="B75" s="6" t="str">
        <x:v>Controls and water wiring</x:v>
      </x:c>
      <x:c r="C75" s="6" t="str">
        <x:v>GCX1131 latching twist-release emergency-stop operator with one NC contact</x:v>
      </x:c>
      <x:c r="D75" s="10" t="n">
        <x:v>1</x:v>
      </x:c>
      <x:c r="E75" s="10" t="str">
        <x:v>pack / each</x:v>
      </x:c>
      <x:c r="F75" s="11" t="n">
        <x:v>17.5</x:v>
      </x:c>
      <x:c r="G75" s="8" t="n">
        <x:f>ROUND(D75*F75,2)</x:f>
        <x:v>17.5</x:v>
      </x:c>
      <x:c r="H75" s="6" t="str">
        <x:v>AutomationDirect</x:v>
      </x:c>
      <x:c r="I75" s="6" t="str">
        <x:v>https://www.automationdirect.com/adc/shopping/catalog/pushbuttons_-z-_switches_-z-_indicators/emergency_stop_pushbuttons/gcx1131</x:v>
      </x:c>
      <x:c r="J75" s="6" t="str">
        <x:v>22 mm mounting, 40 mm red mushroom, IP65, twist-to-release. Supplied ECX1030 family NC block matches the selected GCX system; manufacturer catalog specifies positive-opening contacts. CA-07 spare NC can provide the second contact if required by the finalized stop circuit. Latest page shows backorder with forecast 2026-09-28; not guaranteed delivery. Final stop-chain circuit and contact architecture remain unpriced under CA-14. Legends and any required operating-button guards are CA-39.</x:v>
      </x:c>
      <x:c r="K75" s="2"/>
    </x:row>
    <x:row r="76" ht="78" customHeight="1">
      <x:c r="A76" s="6" t="str">
        <x:v>CA-09</x:v>
      </x:c>
      <x:c r="B76" s="6" t="str">
        <x:v>Controls and water wiring</x:v>
      </x:c>
      <x:c r="C76" s="6" t="str">
        <x:v>DN-R35S1-2 plated-steel DIN rail, two 1 m pieces</x:v>
      </x:c>
      <x:c r="D76" s="10" t="n">
        <x:v>1</x:v>
      </x:c>
      <x:c r="E76" s="10" t="str">
        <x:v>pack / each</x:v>
      </x:c>
      <x:c r="F76" s="11" t="n">
        <x:v>9.25</x:v>
      </x:c>
      <x:c r="G76" s="8" t="n">
        <x:f>ROUND(D76*F76,2)</x:f>
        <x:v>9.25</x:v>
      </x:c>
      <x:c r="H76" s="6" t="str">
        <x:v>AutomationDirect</x:v>
      </x:c>
      <x:c r="I76" s="6" t="str">
        <x:v>https://www.automationdirect.com/adc/shopping/catalog/wire_-a-_cable_management/din_rail/din_rail/dn-r35s1-2</x:v>
      </x:c>
      <x:c r="J76" s="6" t="str">
        <x:v>Shared rail for main controls and water relays; count this purchase once. 2 m is a proposed cabinet purchase quantity pending panel layout, not a measured installed route.</x:v>
      </x:c>
      <x:c r="K76" s="2"/>
    </x:row>
    <x:row r="77" ht="78" customHeight="1">
      <x:c r="A77" s="6" t="str">
        <x:v>CA-10</x:v>
      </x:c>
      <x:c r="B77" s="6" t="str">
        <x:v>Controls and water wiring</x:v>
      </x:c>
      <x:c r="C77" s="6" t="str">
        <x:v>Adafruit 4474 USB Type-A to Type-C data cable, approximately 1 m</x:v>
      </x:c>
      <x:c r="D77" s="10" t="n">
        <x:v>1</x:v>
      </x:c>
      <x:c r="E77" s="10" t="str">
        <x:v>pack / each</x:v>
      </x:c>
      <x:c r="F77" s="11" t="n">
        <x:v>4.95</x:v>
      </x:c>
      <x:c r="G77" s="8" t="n">
        <x:f>ROUND(D77*F77,2)</x:f>
        <x:v>4.95</x:v>
      </x:c>
      <x:c r="H77" s="6" t="str">
        <x:v>Adafruit</x:v>
      </x:c>
      <x:c r="I77" s="6" t="str">
        <x:v>https://www.adafruit.com/product/4474</x:v>
      </x:c>
      <x:c r="J77" s="6" t="str">
        <x:v>Host USB-A to Kraken USB-C data connection; matches controller and Pi4B connector type. Confirm internal routing fits 1 m; shield/strain relief and power-backfeed configuration remain to finalize. No Ethernet cable is required for the Kraken USB motion link. An optional host-network cable is separate.</x:v>
      </x:c>
      <x:c r="K77" s="2"/>
    </x:row>
    <x:row r="78" ht="78" customHeight="1">
      <x:c r="A78" s="6" t="str">
        <x:v>CA-20</x:v>
      </x:c>
      <x:c r="B78" s="6" t="str">
        <x:v>Controls and water wiring</x:v>
      </x:c>
      <x:c r="C78" s="6" t="str">
        <x:v>Littelfuse 0FHA0001ZXJ inline ATO fuse holder</x:v>
      </x:c>
      <x:c r="D78" s="10" t="n">
        <x:v>3</x:v>
      </x:c>
      <x:c r="E78" s="10" t="str">
        <x:v>pack / each</x:v>
      </x:c>
      <x:c r="F78" s="11" t="n">
        <x:v>11.7</x:v>
      </x:c>
      <x:c r="G78" s="8" t="n">
        <x:f>ROUND(D78*F78,2)</x:f>
        <x:v>35.1</x:v>
      </x:c>
      <x:c r="H78" s="6" t="str">
        <x:v>DigiKey</x:v>
      </x:c>
      <x:c r="I78" s="6" t="str">
        <x:v>https://www.digikey.com/en/products/detail/littelfuse-commercial-vehicle-products/0FHA0001ZXJ/2004051</x:v>
      </x:c>
      <x:c r="J78" s="6" t="str">
        <x:v>Three branch holders: pump, control, valve/timers. Primary rating20 A/32 VDC. Holder leads are a local gauge transition; verify conductor protection/termination in final drawing. Tariff may apply in cart.</x:v>
      </x:c>
      <x:c r="K78" s="2"/>
    </x:row>
    <x:row r="79" ht="78" customHeight="1">
      <x:c r="A79" s="6" t="str">
        <x:v>CA-21</x:v>
      </x:c>
      <x:c r="B79" s="6" t="str">
        <x:v>Controls and water wiring</x:v>
      </x:c>
      <x:c r="C79" s="6" t="str">
        <x:v>Littelfuse 0287010.U 10 A ATO fuse</x:v>
      </x:c>
      <x:c r="D79" s="10" t="n">
        <x:v>1</x:v>
      </x:c>
      <x:c r="E79" s="10" t="str">
        <x:v>pack / each</x:v>
      </x:c>
      <x:c r="F79" s="12" t="n">
        <x:v>0.47</x:v>
      </x:c>
      <x:c r="G79" s="8" t="n">
        <x:f>ROUND(D79*F79,2)</x:f>
        <x:v>0.47</x:v>
      </x:c>
      <x:c r="H79" s="6" t="str">
        <x:v>DigiKey</x:v>
      </x:c>
      <x:c r="I79" s="6" t="str">
        <x:v>https://www.digikey.com/en/products/detail/littelfuse-inc/0287010-U/3996901</x:v>
      </x:c>
      <x:c r="J79" s="6" t="str">
        <x:v>Pump conductor protection, per current water electrical design. Actual pump instruction and startup pulse must support10 A; do not increase blindly.</x:v>
      </x:c>
      <x:c r="K79" s="2"/>
    </x:row>
    <x:row r="80" ht="78" customHeight="1">
      <x:c r="A80" s="6" t="str">
        <x:v>CA-22</x:v>
      </x:c>
      <x:c r="B80" s="6" t="str">
        <x:v>Controls and water wiring</x:v>
      </x:c>
      <x:c r="C80" s="6" t="str">
        <x:v>Littelfuse 0287001.U 1 A ATO fuse</x:v>
      </x:c>
      <x:c r="D80" s="10" t="n">
        <x:v>2</x:v>
      </x:c>
      <x:c r="E80" s="10" t="str">
        <x:v>pack / each</x:v>
      </x:c>
      <x:c r="F80" s="12" t="n">
        <x:v>0.47</x:v>
      </x:c>
      <x:c r="G80" s="8" t="n">
        <x:f>ROUND(D80*F80,2)</x:f>
        <x:v>0.94</x:v>
      </x:c>
      <x:c r="H80" s="6" t="str">
        <x:v>DigiKey</x:v>
      </x:c>
      <x:c r="I80" s="6" t="str">
        <x:v>https://www.digikey.com/en/products/detail/littelfuse-inc/0287001-U/3996891</x:v>
      </x:c>
      <x:c r="J80" s="6" t="str">
        <x:v>Control and valve/timer branches; U is bulk packaging sold individually and replaces the previous L packing code electrically. </x:v>
      </x:c>
      <x:c r="K80" s="2"/>
    </x:row>
    <x:row r="81" ht="78" customHeight="1">
      <x:c r="A81" s="6" t="str">
        <x:v>CA-23</x:v>
      </x:c>
      <x:c r="B81" s="6" t="str">
        <x:v>Controls and water wiring</x:v>
      </x:c>
      <x:c r="C81" s="6" t="str">
        <x:v>Vishay 1N4007-E3/54 diode, cut tape</x:v>
      </x:c>
      <x:c r="D81" s="10" t="n">
        <x:v>10</x:v>
      </x:c>
      <x:c r="E81" s="10" t="str">
        <x:v>pack / each</x:v>
      </x:c>
      <x:c r="F81" s="12" t="n">
        <x:v>0.342</x:v>
      </x:c>
      <x:c r="G81" s="8" t="n">
        <x:f>ROUND(D81*F81,2)</x:f>
        <x:v>3.42</x:v>
      </x:c>
      <x:c r="H81" s="6" t="str">
        <x:v>DigiKey</x:v>
      </x:c>
      <x:c r="I81" s="6" t="str">
        <x:v>https://www.digikey.com/en/products/detail/vishay-general-semiconductor-diodes-division/1N4007-E3-54/754813</x:v>
      </x:c>
      <x:c r="J81" s="6" t="str">
        <x:v>Six relay suppression diodes; two drain-command OR diodes; two ready-OR diodes. Not eight. Insulated supported installation and polarity inspection required; possible cart tariff.</x:v>
      </x:c>
      <x:c r="K81" s="2"/>
    </x:row>
    <x:row r="82" ht="78" customHeight="1">
      <x:c r="A82" s="6" t="str">
        <x:v>CA-24</x:v>
      </x:c>
      <x:c r="B82" s="6" t="str">
        <x:v>Controls and water wiring</x:v>
      </x:c>
      <x:c r="C82" s="6" t="str">
        <x:v>STMicroelectronics STPS20100CT pump flyback diode</x:v>
      </x:c>
      <x:c r="D82" s="10" t="n">
        <x:v>1</x:v>
      </x:c>
      <x:c r="E82" s="10" t="str">
        <x:v>pack / each</x:v>
      </x:c>
      <x:c r="F82" s="11" t="n">
        <x:v>1.57</x:v>
      </x:c>
      <x:c r="G82" s="8" t="n">
        <x:f>ROUND(D82*F82,2)</x:f>
        <x:v>1.57</x:v>
      </x:c>
      <x:c r="H82" s="6" t="str">
        <x:v>DigiKey</x:v>
      </x:c>
      <x:c r="I82" s="6" t="str">
        <x:v>https://www.digikey.com/en/products/detail/stmicroelectronics/STPS20100CT/2827118</x:v>
      </x:c>
      <x:c r="J82" s="6" t="str">
        <x:v>Manufacturer datasheet: dual10 A,100 V common cathode, TO-220; pin1/3 anodes, pin2/tab cathode. Functional replacement candidate for obsolete onsemi MBR20100CTG. Validate pump stop-pulse thermal duty, insulated tab mounting and final protection; component substitution only, not a tested motor-protection system. Primary data: https://www.digikey.com/htmldatasheets/production/1010540/0/0/1/stps20100ct.pdf</x:v>
      </x:c>
      <x:c r="K82" s="2"/>
    </x:row>
    <x:row r="83" ht="78" customHeight="1">
      <x:c r="A83" s="6" t="str">
        <x:v>CA-27</x:v>
      </x:c>
      <x:c r="B83" s="6" t="str">
        <x:v>Controls and water wiring</x:v>
      </x:c>
      <x:c r="C83" s="6" t="str">
        <x:v>Kuriyama K3150-16X100 Clearbraid 1-inch gravity drain hose, cut length</x:v>
      </x:c>
      <x:c r="D83" s="10" t="n">
        <x:v>5</x:v>
      </x:c>
      <x:c r="E83" s="10" t="str">
        <x:v>pack / each</x:v>
      </x:c>
      <x:c r="F83" s="11" t="n">
        <x:v>3.23</x:v>
      </x:c>
      <x:c r="G83" s="8" t="n">
        <x:f>ROUND(D83*F83,2)</x:f>
        <x:v>16.15</x:v>
      </x:c>
      <x:c r="H83" s="6" t="str">
        <x:v>Central States Hose</x:v>
      </x:c>
      <x:c r="I83" s="6" t="str">
        <x:v>https://www.centralstateshose.com/Kuriyama-Clearbraid-K3150-multi-purpose-pvc-hose-1-inch-id-per-foot_p_23416.html</x:v>
      </x:c>
      <x:c r="J83" s="6" t="str">
        <x:v>1-inch ID reinforced PVC water hose, 125 PSI at 70 F / 75 PSI at 122 F. Selected only for gravity drain, never for the 120 PSI pump circuit. Keep a continuously descending, supported route without kinks; protect from hot slag. Verify water-treatment compatibility and required installed length.</x:v>
      </x:c>
      <x:c r="K83" s="2"/>
    </x:row>
    <x:row r="84" ht="78" customHeight="1">
      <x:c r="A84" s="6" t="str">
        <x:v>CA-29</x:v>
      </x:c>
      <x:c r="B84" s="6" t="str">
        <x:v>Controls and water wiring</x:v>
      </x:c>
      <x:c r="C84" s="6" t="str">
        <x:v>Pro Flow CP150/100-304 1.5 x 1-inch FNPT bell reducer</x:v>
      </x:c>
      <x:c r="D84" s="10" t="n">
        <x:v>1</x:v>
      </x:c>
      <x:c r="E84" s="10" t="str">
        <x:v>pack / each</x:v>
      </x:c>
      <x:c r="F84" s="11" t="n">
        <x:v>8.17</x:v>
      </x:c>
      <x:c r="G84" s="8" t="n">
        <x:f>ROUND(D84*F84,2)</x:f>
        <x:v>8.17</x:v>
      </x:c>
      <x:c r="H84" s="6" t="str">
        <x:v>Pro Flow Dynamics</x:v>
      </x:c>
      <x:c r="I84" s="6" t="str">
        <x:v>https://www.proflow-dynamics.com/bell-reducer-coupling.html</x:v>
      </x:c>
      <x:c r="J84" s="6" t="str">
        <x:v>304 stainless, female NPT at both ends. This is an explicit two-part replacement for the original F1.5-to-M1 reducer: pair with one CA-36 nipple. Confirm the assembled reducer/union/valve length within the reserved adjustable plumbing envelope; no CAD change made here.</x:v>
      </x:c>
      <x:c r="K84" s="2"/>
    </x:row>
    <x:row r="85" ht="78" customHeight="1">
      <x:c r="A85" s="6" t="str">
        <x:v>CA-30</x:v>
      </x:c>
      <x:c r="B85" s="6" t="str">
        <x:v>Controls and water wiring</x:v>
      </x:c>
      <x:c r="C85" s="6" t="str">
        <x:v>Pro Flow U100-304 1-inch FNPT union</x:v>
      </x:c>
      <x:c r="D85" s="10" t="n">
        <x:v>1</x:v>
      </x:c>
      <x:c r="E85" s="10" t="str">
        <x:v>pack / each</x:v>
      </x:c>
      <x:c r="F85" s="11" t="n">
        <x:v>12.8</x:v>
      </x:c>
      <x:c r="G85" s="8" t="n">
        <x:f>ROUND(D85*F85,2)</x:f>
        <x:v>12.8</x:v>
      </x:c>
      <x:c r="H85" s="6" t="str">
        <x:v>Pro Flow Dynamics</x:v>
      </x:c>
      <x:c r="I85" s="6" t="str">
        <x:v>https://www.proflow-dynamics.com/pipe-union.html</x:v>
      </x:c>
      <x:c r="J85" s="6" t="str">
        <x:v>304 stainless, female NPT both sides, separable service union; gravity-drain use. Requires the two CA-36 male nipples to connect female reducer and female valve. Check wrench/service clearance after actual parts arrive.</x:v>
      </x:c>
      <x:c r="K85" s="2"/>
    </x:row>
    <x:row r="86" ht="78" customHeight="1">
      <x:c r="A86" s="6" t="str">
        <x:v>CA-31</x:v>
      </x:c>
      <x:c r="B86" s="6" t="str">
        <x:v>Controls and water wiring</x:v>
      </x:c>
      <x:c r="C86" s="6" t="str">
        <x:v>Pro Flow HB100-304 1-inch MNPT x 1-inch hose barb</x:v>
      </x:c>
      <x:c r="D86" s="10" t="n">
        <x:v>1</x:v>
      </x:c>
      <x:c r="E86" s="10" t="str">
        <x:v>pack / each</x:v>
      </x:c>
      <x:c r="F86" s="11" t="n">
        <x:v>7.86</x:v>
      </x:c>
      <x:c r="G86" s="8" t="n">
        <x:f>ROUND(D86*F86,2)</x:f>
        <x:v>7.86</x:v>
      </x:c>
      <x:c r="H86" s="6" t="str">
        <x:v>Pro Flow Dynamics</x:v>
      </x:c>
      <x:c r="I86" s="6" t="str">
        <x:v>https://www.proflow-dynamics.com/hose-barb-fittings.html</x:v>
      </x:c>
      <x:c r="J86" s="6" t="str">
        <x:v>304 stainless barb matches the valve's 1-inch female NPT and the 1-inch drain hose ID; gravity side only. Check inserted barb length and supported route.</x:v>
      </x:c>
      <x:c r="K86" s="2"/>
    </x:row>
    <x:row r="87" ht="78" customHeight="1">
      <x:c r="A87" s="6" t="str">
        <x:v>CA-32</x:v>
      </x:c>
      <x:c r="B87" s="6" t="str">
        <x:v>Controls and water wiring</x:v>
      </x:c>
      <x:c r="C87" s="6" t="str">
        <x:v>Pro Flow CAP150-304 1.5-inch FNPT cleanout cap</x:v>
      </x:c>
      <x:c r="D87" s="10" t="n">
        <x:v>1</x:v>
      </x:c>
      <x:c r="E87" s="10" t="str">
        <x:v>pack / each</x:v>
      </x:c>
      <x:c r="F87" s="11" t="n">
        <x:v>7.28</x:v>
      </x:c>
      <x:c r="G87" s="8" t="n">
        <x:f>ROUND(D87*F87,2)</x:f>
        <x:v>7.28</x:v>
      </x:c>
      <x:c r="H87" s="6" t="str">
        <x:v>Pro Flow Dynamics</x:v>
      </x:c>
      <x:c r="I87" s="6" t="str">
        <x:v>https://www.proflow-dynamics.com/1-1-2-threaded-cap.html</x:v>
      </x:c>
      <x:c r="J87" s="6" t="str">
        <x:v>304 stainless female NPT cap fits the 1.5-inch male cleanout thread; removable for sediment service. Maintain hand/tool access and use compatible thread sealant.</x:v>
      </x:c>
      <x:c r="K87" s="2"/>
    </x:row>
    <x:row r="88" ht="78" customHeight="1">
      <x:c r="A88" s="6" t="str">
        <x:v>CA-36</x:v>
      </x:c>
      <x:c r="B88" s="6" t="str">
        <x:v>Controls and water wiring</x:v>
      </x:c>
      <x:c r="C88" s="6" t="str">
        <x:v>Pro Flow NP100-CL-304 1-inch close nipples</x:v>
      </x:c>
      <x:c r="D88" s="10" t="n">
        <x:v>2</x:v>
      </x:c>
      <x:c r="E88" s="10" t="str">
        <x:v>pack / each</x:v>
      </x:c>
      <x:c r="F88" s="11" t="n">
        <x:v>2.62</x:v>
      </x:c>
      <x:c r="G88" s="8" t="n">
        <x:f>ROUND(D88*F88,2)</x:f>
        <x:v>5.24</x:v>
      </x:c>
      <x:c r="H88" s="6" t="str">
        <x:v>Pro Flow Dynamics</x:v>
      </x:c>
      <x:c r="I88" s="6" t="str">
        <x:v>https://www.proflow-dynamics.com/1-close-nipple-ss-304.html</x:v>
      </x:c>
      <x:c r="J88" s="6" t="str">
        <x:v>Two male-to-male 1-inch NPT nipples connect reducer-to-union and union-to-valve. Sealant separated into CA-41. Thread engagement and tool clearance determine whether close nipples or slightly longer 2-inch nipples are needed. The latter is a separately observed $2.77 each option, not added to this subtotal.</x:v>
      </x:c>
      <x:c r="K88" s="2"/>
    </x:row>
    <x:row r="89" ht="78" customHeight="1">
      <x:c r="A89" s="6" t="str">
        <x:v>CA-41</x:v>
      </x:c>
      <x:c r="B89" s="6" t="str">
        <x:v>Controls and water wiring</x:v>
      </x:c>
      <x:c r="C89" s="6" t="str">
        <x:v>RectorSeal T Plus 2 23710 thread sealant, 1.75 oz tube</x:v>
      </x:c>
      <x:c r="D89" s="10" t="n">
        <x:v>1</x:v>
      </x:c>
      <x:c r="E89" s="10" t="str">
        <x:v>pack / each</x:v>
      </x:c>
      <x:c r="F89" s="11" t="n">
        <x:v>5.87</x:v>
      </x:c>
      <x:c r="G89" s="8" t="n">
        <x:f>ROUND(D89*F89,2)</x:f>
        <x:v>5.87</x:v>
      </x:c>
      <x:c r="H89" s="6" t="str">
        <x:v>Lowe's</x:v>
      </x:c>
      <x:c r="I89" s="6" t="str">
        <x:v>https://www.lowes.com/pd/rectorseal-t-plus-2-sealant/1000092785</x:v>
      </x:c>
      <x:c r="J89" s="6" t="str">
        <x:v>Manufacturer approves water and metal/plastic threaded pipe, including stainless and brass. Apply to male pipe threads; not a substitute for hose retention. Price is public offer without ZIP-specific pickup/delivery confirmation; one-time purchase, no subscription discount. Follow pump/strainer fitting installation and sealant instructions.</x:v>
      </x:c>
      <x:c r="K89" s="2"/>
    </x:row>
    <x:row r="90">
      <x:c r="A90" s="2"/>
      <x:c r="B90" s="2"/>
      <x:c r="C90" s="2"/>
      <x:c r="D90" s="2"/>
      <x:c r="E90" s="2"/>
      <x:c r="F90" s="2"/>
      <x:c r="G90" s="2"/>
      <x:c r="H90" s="2"/>
      <x:c r="I90" s="2"/>
      <x:c r="J90" s="2"/>
      <x:c r="K90" s="2"/>
    </x:row>
    <x:row r="91">
      <x:c r="A91" s="2"/>
      <x:c r="B91" s="2"/>
      <x:c r="C91" s="2"/>
      <x:c r="D91" s="2"/>
      <x:c r="E91" s="2"/>
      <x:c r="F91" s="2"/>
      <x:c r="G91" s="2"/>
      <x:c r="H91" s="2"/>
      <x:c r="I91" s="2"/>
      <x:c r="J91" s="2"/>
      <x:c r="K91" s="2"/>
    </x:row>
    <x:row r="92">
      <x:c r="A92" s="2"/>
      <x:c r="B92" s="2"/>
      <x:c r="C92" s="2"/>
      <x:c r="D92" s="2"/>
      <x:c r="E92" s="2"/>
      <x:c r="F92" s="2"/>
      <x:c r="G92" s="2"/>
      <x:c r="H92" s="2"/>
      <x:c r="I92" s="2"/>
      <x:c r="J92" s="2"/>
      <x:c r="K92" s="2"/>
    </x:row>
    <x:row r="93">
      <x:c r="A93" s="2"/>
      <x:c r="B93" s="2"/>
      <x:c r="C93" s="2"/>
      <x:c r="D93" s="2"/>
      <x:c r="E93" s="2"/>
      <x:c r="F93" s="2"/>
      <x:c r="G93" s="2"/>
      <x:c r="H93" s="2"/>
      <x:c r="I93" s="2"/>
      <x:c r="J93" s="2"/>
      <x:c r="K93" s="2"/>
    </x:row>
    <x:row r="94">
      <x:c r="A94" s="2"/>
      <x:c r="B94" s="2"/>
      <x:c r="C94" s="2"/>
      <x:c r="D94" s="2"/>
      <x:c r="E94" s="2"/>
      <x:c r="F94" s="2"/>
      <x:c r="G94" s="2"/>
      <x:c r="H94" s="2"/>
      <x:c r="I94" s="2"/>
      <x:c r="J94" s="2"/>
      <x:c r="K94" s="2"/>
    </x:row>
    <x:row r="95">
      <x:c r="A95" s="2"/>
      <x:c r="B95" s="2"/>
      <x:c r="C95" s="2"/>
      <x:c r="D95" s="2"/>
      <x:c r="E95" s="2"/>
      <x:c r="F95" s="2"/>
      <x:c r="G95" s="2"/>
      <x:c r="H95" s="2"/>
      <x:c r="I95" s="2"/>
      <x:c r="J95" s="2"/>
      <x:c r="K95" s="2"/>
    </x:row>
    <x:row r="96">
      <x:c r="A96" s="2"/>
      <x:c r="B96" s="2"/>
      <x:c r="C96" s="2"/>
      <x:c r="D96" s="2"/>
      <x:c r="E96" s="2"/>
      <x:c r="F96" s="2"/>
      <x:c r="G96" s="2"/>
      <x:c r="H96" s="2"/>
      <x:c r="I96" s="2"/>
      <x:c r="J96" s="2"/>
      <x:c r="K96" s="2"/>
    </x:row>
    <x:row r="97">
      <x:c r="A97" s="2"/>
      <x:c r="B97" s="2"/>
      <x:c r="C97" s="2"/>
      <x:c r="D97" s="2"/>
      <x:c r="E97" s="2"/>
      <x:c r="F97" s="2"/>
      <x:c r="G97" s="2"/>
      <x:c r="H97" s="2"/>
      <x:c r="I97" s="2"/>
      <x:c r="J97" s="2"/>
      <x:c r="K97" s="2"/>
    </x:row>
    <x:row r="98">
      <x:c r="A98" s="2"/>
      <x:c r="B98" s="2"/>
      <x:c r="C98" s="2"/>
      <x:c r="D98" s="2"/>
      <x:c r="E98" s="2"/>
      <x:c r="F98" s="2"/>
      <x:c r="G98" s="2"/>
      <x:c r="H98" s="2"/>
      <x:c r="I98" s="2"/>
      <x:c r="J98" s="2"/>
      <x:c r="K98" s="2"/>
    </x:row>
    <x:row r="99">
      <x:c r="A99" s="2"/>
      <x:c r="B99" s="2"/>
      <x:c r="C99" s="2"/>
      <x:c r="D99" s="2"/>
      <x:c r="E99" s="2"/>
      <x:c r="F99" s="2"/>
      <x:c r="G99" s="2"/>
      <x:c r="H99" s="2"/>
      <x:c r="I99" s="2"/>
      <x:c r="J99" s="2"/>
      <x:c r="K99" s="2"/>
    </x:row>
    <x:row r="100">
      <x:c r="A100" s="2"/>
      <x:c r="B100" s="2"/>
      <x:c r="C100" s="2"/>
      <x:c r="D100" s="2"/>
      <x:c r="E100" s="2"/>
      <x:c r="F100" s="2"/>
      <x:c r="G100" s="2"/>
      <x:c r="H100" s="2"/>
      <x:c r="I100" s="2"/>
      <x:c r="J100" s="2"/>
      <x:c r="K100" s="2"/>
    </x:row>
    <x:row r="101">
      <x:c r="A101" s="2"/>
      <x:c r="B101" s="2"/>
      <x:c r="C101" s="2"/>
      <x:c r="D101" s="2"/>
      <x:c r="E101" s="2"/>
      <x:c r="F101" s="2"/>
      <x:c r="G101" s="2"/>
      <x:c r="H101" s="2"/>
      <x:c r="I101" s="2"/>
      <x:c r="J101" s="2"/>
      <x:c r="K101" s="2"/>
    </x:row>
    <x:row r="102">
      <x:c r="A102" s="2"/>
      <x:c r="B102" s="2"/>
      <x:c r="C102" s="2"/>
      <x:c r="D102" s="2"/>
      <x:c r="E102" s="2"/>
      <x:c r="F102" s="2"/>
      <x:c r="G102" s="2"/>
      <x:c r="H102" s="2"/>
      <x:c r="I102" s="2"/>
      <x:c r="J102" s="2"/>
      <x:c r="K102" s="2"/>
    </x:row>
    <x:row r="103">
      <x:c r="A103" s="2"/>
      <x:c r="B103" s="2"/>
      <x:c r="C103" s="2"/>
      <x:c r="D103" s="2"/>
      <x:c r="E103" s="2"/>
      <x:c r="F103" s="2"/>
      <x:c r="G103" s="2"/>
      <x:c r="H103" s="2"/>
      <x:c r="I103" s="2"/>
      <x:c r="J103" s="2"/>
      <x:c r="K103" s="2"/>
    </x:row>
    <x:row r="104">
      <x:c r="A104" s="2"/>
      <x:c r="B104" s="2"/>
      <x:c r="C104" s="2"/>
      <x:c r="D104" s="2"/>
      <x:c r="E104" s="2"/>
      <x:c r="F104" s="2"/>
      <x:c r="G104" s="2"/>
      <x:c r="H104" s="2"/>
      <x:c r="I104" s="2"/>
      <x:c r="J104" s="2"/>
      <x:c r="K104" s="2"/>
    </x:row>
    <x:row r="105">
      <x:c r="A105" s="2"/>
      <x:c r="B105" s="2"/>
      <x:c r="C105" s="2"/>
      <x:c r="D105" s="2"/>
      <x:c r="E105" s="2"/>
      <x:c r="F105" s="2"/>
      <x:c r="G105" s="2"/>
      <x:c r="H105" s="2"/>
      <x:c r="I105" s="2"/>
      <x:c r="J105" s="2"/>
      <x:c r="K105" s="2"/>
    </x:row>
    <x:row r="106">
      <x:c r="A106" s="2"/>
      <x:c r="B106" s="2"/>
      <x:c r="C106" s="2"/>
      <x:c r="D106" s="2"/>
      <x:c r="E106" s="2"/>
      <x:c r="F106" s="2"/>
      <x:c r="G106" s="2"/>
      <x:c r="H106" s="2"/>
      <x:c r="I106" s="2"/>
      <x:c r="J106" s="2"/>
      <x:c r="K106" s="2"/>
    </x:row>
    <x:row r="107">
      <x:c r="A107" s="2"/>
      <x:c r="B107" s="2"/>
      <x:c r="C107" s="2"/>
      <x:c r="D107" s="2"/>
      <x:c r="E107" s="2"/>
      <x:c r="F107" s="2"/>
      <x:c r="G107" s="2"/>
      <x:c r="H107" s="2"/>
      <x:c r="I107" s="2"/>
      <x:c r="J107" s="2"/>
      <x:c r="K107" s="2"/>
    </x:row>
    <x:row r="108">
      <x:c r="A108" s="2"/>
      <x:c r="B108" s="2"/>
      <x:c r="C108" s="2"/>
      <x:c r="D108" s="2"/>
      <x:c r="E108" s="2"/>
      <x:c r="F108" s="2"/>
      <x:c r="G108" s="2"/>
      <x:c r="H108" s="2"/>
      <x:c r="I108" s="2"/>
      <x:c r="J108" s="2"/>
      <x:c r="K108" s="2"/>
    </x:row>
    <x:row r="109">
      <x:c r="A109" s="2"/>
      <x:c r="B109" s="2"/>
      <x:c r="C109" s="2"/>
      <x:c r="D109" s="2"/>
      <x:c r="E109" s="2"/>
      <x:c r="F109" s="2"/>
      <x:c r="G109" s="2"/>
      <x:c r="H109" s="2"/>
      <x:c r="I109" s="2"/>
      <x:c r="J109" s="2"/>
      <x:c r="K109" s="2"/>
    </x:row>
    <x:row r="110">
      <x:c r="A110" s="2"/>
      <x:c r="B110" s="2"/>
      <x:c r="C110" s="2"/>
      <x:c r="D110" s="2"/>
      <x:c r="E110" s="2"/>
      <x:c r="F110" s="2"/>
      <x:c r="G110" s="2"/>
      <x:c r="H110" s="2"/>
      <x:c r="I110" s="2"/>
      <x:c r="J110" s="2"/>
      <x:c r="K110" s="2"/>
    </x:row>
    <x:row r="111">
      <x:c r="A111" s="2"/>
      <x:c r="B111" s="2"/>
      <x:c r="C111" s="2"/>
      <x:c r="D111" s="2"/>
      <x:c r="E111" s="2"/>
      <x:c r="F111" s="2"/>
      <x:c r="G111" s="2"/>
      <x:c r="H111" s="2"/>
      <x:c r="I111" s="2"/>
      <x:c r="J111" s="2"/>
      <x:c r="K111" s="2"/>
    </x:row>
    <x:row r="112">
      <x:c r="A112" s="2"/>
      <x:c r="B112" s="2"/>
      <x:c r="C112" s="2"/>
      <x:c r="D112" s="2"/>
      <x:c r="E112" s="2"/>
      <x:c r="F112" s="2"/>
      <x:c r="G112" s="2"/>
      <x:c r="H112" s="2"/>
      <x:c r="I112" s="2"/>
      <x:c r="J112" s="2"/>
      <x:c r="K112" s="2"/>
    </x:row>
    <x:row r="113">
      <x:c r="A113" s="2"/>
      <x:c r="B113" s="2"/>
      <x:c r="C113" s="2"/>
      <x:c r="D113" s="2"/>
      <x:c r="E113" s="2"/>
      <x:c r="F113" s="2"/>
      <x:c r="G113" s="2"/>
      <x:c r="H113" s="2"/>
      <x:c r="I113" s="2"/>
      <x:c r="J113" s="2"/>
      <x:c r="K113" s="2"/>
    </x:row>
    <x:row r="114">
      <x:c r="A114" s="2"/>
      <x:c r="B114" s="2"/>
      <x:c r="C114" s="2"/>
      <x:c r="D114" s="2"/>
      <x:c r="E114" s="2"/>
      <x:c r="F114" s="2"/>
      <x:c r="G114" s="2"/>
      <x:c r="H114" s="2"/>
      <x:c r="I114" s="2"/>
      <x:c r="J114" s="2"/>
      <x:c r="K114" s="2"/>
    </x:row>
    <x:row r="115">
      <x:c r="A115" s="2"/>
      <x:c r="B115" s="2"/>
      <x:c r="C115" s="2"/>
      <x:c r="D115" s="2"/>
      <x:c r="E115" s="2"/>
      <x:c r="F115" s="2"/>
      <x:c r="G115" s="2"/>
      <x:c r="H115" s="2"/>
      <x:c r="I115" s="2"/>
      <x:c r="J115" s="2"/>
      <x:c r="K115" s="2"/>
    </x:row>
    <x:row r="116">
      <x:c r="A116" s="2"/>
      <x:c r="B116" s="2"/>
      <x:c r="C116" s="2"/>
      <x:c r="D116" s="2"/>
      <x:c r="E116" s="2"/>
      <x:c r="F116" s="2"/>
      <x:c r="G116" s="2"/>
      <x:c r="H116" s="2"/>
      <x:c r="I116" s="2"/>
      <x:c r="J116" s="2"/>
      <x:c r="K116" s="2"/>
    </x:row>
    <x:row r="117">
      <x:c r="A117" s="2"/>
      <x:c r="B117" s="2"/>
      <x:c r="C117" s="2"/>
      <x:c r="D117" s="2"/>
      <x:c r="E117" s="2"/>
      <x:c r="F117" s="2"/>
      <x:c r="G117" s="2"/>
      <x:c r="H117" s="2"/>
      <x:c r="I117" s="2"/>
      <x:c r="J117" s="2"/>
      <x:c r="K117" s="2"/>
    </x:row>
    <x:row r="118">
      <x:c r="A118" s="2"/>
      <x:c r="B118" s="2"/>
      <x:c r="C118" s="2"/>
      <x:c r="D118" s="2"/>
      <x:c r="E118" s="2"/>
      <x:c r="F118" s="2"/>
      <x:c r="G118" s="2"/>
      <x:c r="H118" s="2"/>
      <x:c r="I118" s="2"/>
      <x:c r="J118" s="2"/>
      <x:c r="K118" s="2"/>
    </x:row>
    <x:row r="119">
      <x:c r="A119" s="2"/>
      <x:c r="B119" s="2"/>
      <x:c r="C119" s="2"/>
      <x:c r="D119" s="2"/>
      <x:c r="E119" s="2"/>
      <x:c r="F119" s="2"/>
      <x:c r="G119" s="2"/>
      <x:c r="H119" s="2"/>
      <x:c r="I119" s="2"/>
      <x:c r="J119" s="2"/>
      <x:c r="K119" s="2"/>
    </x:row>
    <x:row r="120">
      <x:c r="A120" s="2"/>
      <x:c r="B120" s="2"/>
      <x:c r="C120" s="2"/>
      <x:c r="D120" s="2"/>
      <x:c r="E120" s="2"/>
      <x:c r="F120" s="2"/>
      <x:c r="G120" s="2"/>
      <x:c r="H120" s="2"/>
      <x:c r="I120" s="2"/>
      <x:c r="J120" s="2"/>
      <x:c r="K120" s="2"/>
    </x:row>
    <x:row r="121">
      <x:c r="A121" s="2"/>
      <x:c r="B121" s="2"/>
      <x:c r="C121" s="2"/>
      <x:c r="D121" s="2"/>
      <x:c r="E121" s="2"/>
      <x:c r="F121" s="2"/>
      <x:c r="G121" s="2"/>
      <x:c r="H121" s="2"/>
      <x:c r="I121" s="2"/>
      <x:c r="J121" s="2"/>
      <x:c r="K121" s="2"/>
    </x:row>
    <x:row r="122">
      <x:c r="A122" s="2"/>
      <x:c r="B122" s="2"/>
      <x:c r="C122" s="2"/>
      <x:c r="D122" s="2"/>
      <x:c r="E122" s="2"/>
      <x:c r="F122" s="2"/>
      <x:c r="G122" s="2"/>
      <x:c r="H122" s="2"/>
      <x:c r="I122" s="2"/>
      <x:c r="J122" s="2"/>
      <x:c r="K122" s="2"/>
    </x:row>
    <x:row r="123">
      <x:c r="A123" s="2"/>
      <x:c r="B123" s="2"/>
      <x:c r="C123" s="2"/>
      <x:c r="D123" s="2"/>
      <x:c r="E123" s="2"/>
      <x:c r="F123" s="2"/>
      <x:c r="G123" s="2"/>
      <x:c r="H123" s="2"/>
      <x:c r="I123" s="2"/>
      <x:c r="J123" s="2"/>
      <x:c r="K123" s="2"/>
    </x:row>
    <x:row r="124">
      <x:c r="A124" s="2"/>
      <x:c r="B124" s="2"/>
      <x:c r="C124" s="2"/>
      <x:c r="D124" s="2"/>
      <x:c r="E124" s="2"/>
      <x:c r="F124" s="2"/>
      <x:c r="G124" s="2"/>
      <x:c r="H124" s="2"/>
      <x:c r="I124" s="2"/>
      <x:c r="J124" s="2"/>
      <x:c r="K124" s="2"/>
    </x:row>
    <x:row r="125">
      <x:c r="A125" s="2"/>
      <x:c r="B125" s="2"/>
      <x:c r="C125" s="2"/>
      <x:c r="D125" s="2"/>
      <x:c r="E125" s="2"/>
      <x:c r="F125" s="2"/>
      <x:c r="G125" s="2"/>
      <x:c r="H125" s="2"/>
      <x:c r="I125" s="2"/>
      <x:c r="J125" s="2"/>
      <x:c r="K125" s="2"/>
    </x:row>
    <x:row r="126">
      <x:c r="A126" s="2"/>
      <x:c r="B126" s="2"/>
      <x:c r="C126" s="2"/>
      <x:c r="D126" s="2"/>
      <x:c r="E126" s="2"/>
      <x:c r="F126" s="2"/>
      <x:c r="G126" s="2"/>
      <x:c r="H126" s="2"/>
      <x:c r="I126" s="2"/>
      <x:c r="J126" s="2"/>
      <x:c r="K126" s="2"/>
    </x:row>
    <x:row r="127">
      <x:c r="A127" s="2"/>
      <x:c r="B127" s="2"/>
      <x:c r="C127" s="2"/>
      <x:c r="D127" s="2"/>
      <x:c r="E127" s="2"/>
      <x:c r="F127" s="2"/>
      <x:c r="G127" s="2"/>
      <x:c r="H127" s="2"/>
      <x:c r="I127" s="2"/>
      <x:c r="J127" s="2"/>
      <x:c r="K127" s="2"/>
    </x:row>
    <x:row r="128">
      <x:c r="A128" s="2"/>
      <x:c r="B128" s="2"/>
      <x:c r="C128" s="2"/>
      <x:c r="D128" s="2"/>
      <x:c r="E128" s="2"/>
      <x:c r="F128" s="2"/>
      <x:c r="G128" s="2"/>
      <x:c r="H128" s="2"/>
      <x:c r="I128" s="2"/>
      <x:c r="J128" s="2"/>
      <x:c r="K128" s="2"/>
    </x:row>
    <x:row r="129">
      <x:c r="A129" s="2"/>
      <x:c r="B129" s="2"/>
      <x:c r="C129" s="2"/>
      <x:c r="D129" s="2"/>
      <x:c r="E129" s="2"/>
      <x:c r="F129" s="2"/>
      <x:c r="G129" s="2"/>
      <x:c r="H129" s="2"/>
      <x:c r="I129" s="2"/>
      <x:c r="J129" s="2"/>
      <x:c r="K129" s="2"/>
    </x:row>
    <x:row r="130">
      <x:c r="A130" s="2"/>
      <x:c r="B130" s="2"/>
      <x:c r="C130" s="2"/>
      <x:c r="D130" s="2"/>
      <x:c r="E130" s="2"/>
      <x:c r="F130" s="2"/>
      <x:c r="G130" s="2"/>
      <x:c r="H130" s="2"/>
      <x:c r="I130" s="2"/>
      <x:c r="J130" s="2"/>
      <x:c r="K130" s="2"/>
    </x:row>
    <x:row r="131">
      <x:c r="A131" s="2"/>
      <x:c r="B131" s="2"/>
      <x:c r="C131" s="2"/>
      <x:c r="D131" s="2"/>
      <x:c r="E131" s="2"/>
      <x:c r="F131" s="2"/>
      <x:c r="G131" s="2"/>
      <x:c r="H131" s="2"/>
      <x:c r="I131" s="2"/>
      <x:c r="J131" s="2"/>
      <x:c r="K131" s="2"/>
    </x:row>
    <x:row r="132">
      <x:c r="A132" s="2"/>
      <x:c r="B132" s="2"/>
      <x:c r="C132" s="2"/>
      <x:c r="D132" s="2"/>
      <x:c r="E132" s="2"/>
      <x:c r="F132" s="2"/>
      <x:c r="G132" s="2"/>
      <x:c r="H132" s="2"/>
      <x:c r="I132" s="2"/>
      <x:c r="J132" s="2"/>
      <x:c r="K132" s="2"/>
    </x:row>
    <x:row r="133">
      <x:c r="A133" s="2"/>
      <x:c r="B133" s="2"/>
      <x:c r="C133" s="2"/>
      <x:c r="D133" s="2"/>
      <x:c r="E133" s="2"/>
      <x:c r="F133" s="2"/>
      <x:c r="G133" s="2"/>
      <x:c r="H133" s="2"/>
      <x:c r="I133" s="2"/>
      <x:c r="J133" s="2"/>
      <x:c r="K133" s="2"/>
    </x:row>
    <x:row r="134">
      <x:c r="A134" s="2"/>
      <x:c r="B134" s="2"/>
      <x:c r="C134" s="2"/>
      <x:c r="D134" s="2"/>
      <x:c r="E134" s="2"/>
      <x:c r="F134" s="2"/>
      <x:c r="G134" s="2"/>
      <x:c r="H134" s="2"/>
      <x:c r="I134" s="2"/>
      <x:c r="J134" s="2"/>
      <x:c r="K134" s="2"/>
    </x:row>
    <x:row r="135">
      <x:c r="A135" s="2"/>
      <x:c r="B135" s="2"/>
      <x:c r="C135" s="2"/>
      <x:c r="D135" s="2"/>
      <x:c r="E135" s="2"/>
      <x:c r="F135" s="2"/>
      <x:c r="G135" s="2"/>
      <x:c r="H135" s="2"/>
      <x:c r="I135" s="2"/>
      <x:c r="J135" s="2"/>
      <x:c r="K135" s="2"/>
    </x:row>
    <x:row r="136">
      <x:c r="A136" s="2"/>
      <x:c r="B136" s="2"/>
      <x:c r="C136" s="2"/>
      <x:c r="D136" s="2"/>
      <x:c r="E136" s="2"/>
      <x:c r="F136" s="2"/>
      <x:c r="G136" s="2"/>
      <x:c r="H136" s="2"/>
      <x:c r="I136" s="2"/>
      <x:c r="J136" s="2"/>
      <x:c r="K136" s="2"/>
    </x:row>
    <x:row r="137">
      <x:c r="A137" s="2"/>
      <x:c r="B137" s="2"/>
      <x:c r="C137" s="2"/>
      <x:c r="D137" s="2"/>
      <x:c r="E137" s="2"/>
      <x:c r="F137" s="2"/>
      <x:c r="G137" s="2"/>
      <x:c r="H137" s="2"/>
      <x:c r="I137" s="2"/>
      <x:c r="J137" s="2"/>
      <x:c r="K137" s="2"/>
    </x:row>
    <x:row r="138">
      <x:c r="A138" s="2"/>
      <x:c r="B138" s="2"/>
      <x:c r="C138" s="2"/>
      <x:c r="D138" s="2"/>
      <x:c r="E138" s="2"/>
      <x:c r="F138" s="2"/>
      <x:c r="G138" s="2"/>
      <x:c r="H138" s="2"/>
      <x:c r="I138" s="2"/>
      <x:c r="J138" s="2"/>
      <x:c r="K138" s="2"/>
    </x:row>
    <x:row r="139">
      <x:c r="A139" s="2"/>
      <x:c r="B139" s="2"/>
      <x:c r="C139" s="2"/>
      <x:c r="D139" s="2"/>
      <x:c r="E139" s="2"/>
      <x:c r="F139" s="2"/>
      <x:c r="G139" s="2"/>
      <x:c r="H139" s="2"/>
      <x:c r="I139" s="2"/>
      <x:c r="J139" s="2"/>
      <x:c r="K139" s="2"/>
    </x:row>
    <x:row r="140">
      <x:c r="A140" s="2"/>
      <x:c r="B140" s="2"/>
      <x:c r="C140" s="2"/>
      <x:c r="D140" s="2"/>
      <x:c r="E140" s="2"/>
      <x:c r="F140" s="2"/>
      <x:c r="G140" s="2"/>
      <x:c r="H140" s="2"/>
      <x:c r="I140" s="2"/>
      <x:c r="J140" s="2"/>
      <x:c r="K140" s="2"/>
    </x:row>
    <x:row r="141">
      <x:c r="A141" s="2"/>
      <x:c r="B141" s="2"/>
      <x:c r="C141" s="2"/>
      <x:c r="D141" s="2"/>
      <x:c r="E141" s="2"/>
      <x:c r="F141" s="2"/>
      <x:c r="G141" s="2"/>
      <x:c r="H141" s="2"/>
      <x:c r="I141" s="2"/>
      <x:c r="J141" s="2"/>
      <x:c r="K141" s="2"/>
    </x:row>
    <x:row r="142">
      <x:c r="A142" s="2"/>
      <x:c r="B142" s="2"/>
      <x:c r="C142" s="2"/>
      <x:c r="D142" s="2"/>
      <x:c r="E142" s="2"/>
      <x:c r="F142" s="2"/>
      <x:c r="G142" s="2"/>
      <x:c r="H142" s="2"/>
      <x:c r="I142" s="2"/>
      <x:c r="J142" s="2"/>
      <x:c r="K142" s="2"/>
    </x:row>
    <x:row r="143">
      <x:c r="A143" s="2"/>
      <x:c r="B143" s="2"/>
      <x:c r="C143" s="2"/>
      <x:c r="D143" s="2"/>
      <x:c r="E143" s="2"/>
      <x:c r="F143" s="2"/>
      <x:c r="G143" s="2"/>
      <x:c r="H143" s="2"/>
      <x:c r="I143" s="2"/>
      <x:c r="J143" s="2"/>
      <x:c r="K143" s="2"/>
    </x:row>
    <x:row r="144">
      <x:c r="A144" s="2"/>
      <x:c r="B144" s="2"/>
      <x:c r="C144" s="2"/>
      <x:c r="D144" s="2"/>
      <x:c r="E144" s="2"/>
      <x:c r="F144" s="2"/>
      <x:c r="G144" s="2"/>
      <x:c r="H144" s="2"/>
      <x:c r="I144" s="2"/>
      <x:c r="J144" s="2"/>
      <x:c r="K144" s="2"/>
    </x:row>
    <x:row r="145">
      <x:c r="A145" s="2"/>
      <x:c r="B145" s="2"/>
      <x:c r="C145" s="2"/>
      <x:c r="D145" s="2"/>
      <x:c r="E145" s="2"/>
      <x:c r="F145" s="2"/>
      <x:c r="G145" s="2"/>
      <x:c r="H145" s="2"/>
      <x:c r="I145" s="2"/>
      <x:c r="J145" s="2"/>
      <x:c r="K145" s="2"/>
    </x:row>
    <x:row r="146">
      <x:c r="A146" s="2"/>
      <x:c r="B146" s="2"/>
      <x:c r="C146" s="2"/>
      <x:c r="D146" s="2"/>
      <x:c r="E146" s="2"/>
      <x:c r="F146" s="2"/>
      <x:c r="G146" s="2"/>
      <x:c r="H146" s="2"/>
      <x:c r="I146" s="2"/>
      <x:c r="J146" s="2"/>
      <x:c r="K146" s="2"/>
    </x:row>
    <x:row r="147">
      <x:c r="A147" s="2"/>
      <x:c r="B147" s="2"/>
      <x:c r="C147" s="2"/>
      <x:c r="D147" s="2"/>
      <x:c r="E147" s="2"/>
      <x:c r="F147" s="2"/>
      <x:c r="G147" s="2"/>
      <x:c r="H147" s="2"/>
      <x:c r="I147" s="2"/>
      <x:c r="J147" s="2"/>
      <x:c r="K147" s="2"/>
    </x:row>
    <x:row r="148">
      <x:c r="A148" s="2"/>
      <x:c r="B148" s="2"/>
      <x:c r="C148" s="2"/>
      <x:c r="D148" s="2"/>
      <x:c r="E148" s="2"/>
      <x:c r="F148" s="2"/>
      <x:c r="G148" s="2"/>
      <x:c r="H148" s="2"/>
      <x:c r="I148" s="2"/>
      <x:c r="J148" s="2"/>
      <x:c r="K148" s="2"/>
    </x:row>
    <x:row r="149">
      <x:c r="A149" s="2"/>
      <x:c r="B149" s="2"/>
      <x:c r="C149" s="2"/>
      <x:c r="D149" s="2"/>
      <x:c r="E149" s="2"/>
      <x:c r="F149" s="2"/>
      <x:c r="G149" s="2"/>
      <x:c r="H149" s="2"/>
      <x:c r="I149" s="2"/>
      <x:c r="J149" s="2"/>
      <x:c r="K149" s="2"/>
    </x:row>
    <x:row r="150">
      <x:c r="A150" s="2"/>
      <x:c r="B150" s="2"/>
      <x:c r="C150" s="2"/>
      <x:c r="D150" s="2"/>
      <x:c r="E150" s="2"/>
      <x:c r="F150" s="2"/>
      <x:c r="G150" s="2"/>
      <x:c r="H150" s="2"/>
      <x:c r="I150" s="2"/>
      <x:c r="J150" s="2"/>
      <x:c r="K150" s="2"/>
    </x:row>
    <x:row r="151">
      <x:c r="A151" s="2"/>
      <x:c r="B151" s="2"/>
      <x:c r="C151" s="2"/>
      <x:c r="D151" s="2"/>
      <x:c r="E151" s="2"/>
      <x:c r="F151" s="2"/>
      <x:c r="G151" s="2"/>
      <x:c r="H151" s="2"/>
      <x:c r="I151" s="2"/>
      <x:c r="J151" s="2"/>
      <x:c r="K151" s="2"/>
    </x:row>
    <x:row r="152">
      <x:c r="A152" s="2"/>
      <x:c r="B152" s="2"/>
      <x:c r="C152" s="2"/>
      <x:c r="D152" s="2"/>
      <x:c r="E152" s="2"/>
      <x:c r="F152" s="2"/>
      <x:c r="G152" s="2"/>
      <x:c r="H152" s="2"/>
      <x:c r="I152" s="2"/>
      <x:c r="J152" s="2"/>
      <x:c r="K152" s="2"/>
    </x:row>
    <x:row r="153">
      <x:c r="A153" s="2"/>
      <x:c r="B153" s="2"/>
      <x:c r="C153" s="2"/>
      <x:c r="D153" s="2"/>
      <x:c r="E153" s="2"/>
      <x:c r="F153" s="2"/>
      <x:c r="G153" s="2"/>
      <x:c r="H153" s="2"/>
      <x:c r="I153" s="2"/>
      <x:c r="J153" s="2"/>
      <x:c r="K153" s="2"/>
    </x:row>
    <x:row r="154">
      <x:c r="A154" s="2"/>
      <x:c r="B154" s="2"/>
      <x:c r="C154" s="2"/>
      <x:c r="D154" s="2"/>
      <x:c r="E154" s="2"/>
      <x:c r="F154" s="2"/>
      <x:c r="G154" s="2"/>
      <x:c r="H154" s="2"/>
      <x:c r="I154" s="2"/>
      <x:c r="J154" s="2"/>
      <x:c r="K154" s="2"/>
    </x:row>
    <x:row r="155">
      <x:c r="A155" s="2"/>
      <x:c r="B155" s="2"/>
      <x:c r="C155" s="2"/>
      <x:c r="D155" s="2"/>
      <x:c r="E155" s="2"/>
      <x:c r="F155" s="2"/>
      <x:c r="G155" s="2"/>
      <x:c r="H155" s="2"/>
      <x:c r="I155" s="2"/>
      <x:c r="J155" s="2"/>
      <x:c r="K155" s="2"/>
    </x:row>
    <x:row r="156">
      <x:c r="A156" s="2"/>
      <x:c r="B156" s="2"/>
      <x:c r="C156" s="2"/>
      <x:c r="D156" s="2"/>
      <x:c r="E156" s="2"/>
      <x:c r="F156" s="2"/>
      <x:c r="G156" s="2"/>
      <x:c r="H156" s="2"/>
      <x:c r="I156" s="2"/>
      <x:c r="J156" s="2"/>
      <x:c r="K156" s="2"/>
    </x:row>
    <x:row r="157">
      <x:c r="A157" s="2"/>
      <x:c r="B157" s="2"/>
      <x:c r="C157" s="2"/>
      <x:c r="D157" s="2"/>
      <x:c r="E157" s="2"/>
      <x:c r="F157" s="2"/>
      <x:c r="G157" s="2"/>
      <x:c r="H157" s="2"/>
      <x:c r="I157" s="2"/>
      <x:c r="J157" s="2"/>
      <x:c r="K157" s="2"/>
    </x:row>
    <x:row r="158">
      <x:c r="A158" s="2"/>
      <x:c r="B158" s="2"/>
      <x:c r="C158" s="2"/>
      <x:c r="D158" s="2"/>
      <x:c r="E158" s="2"/>
      <x:c r="F158" s="2"/>
      <x:c r="G158" s="2"/>
      <x:c r="H158" s="2"/>
      <x:c r="I158" s="2"/>
      <x:c r="J158" s="2"/>
      <x:c r="K158" s="2"/>
    </x:row>
    <x:row r="159">
      <x:c r="A159" s="2"/>
      <x:c r="B159" s="2"/>
      <x:c r="C159" s="2"/>
      <x:c r="D159" s="2"/>
      <x:c r="E159" s="2"/>
      <x:c r="F159" s="2"/>
      <x:c r="G159" s="2"/>
      <x:c r="H159" s="2"/>
      <x:c r="I159" s="2"/>
      <x:c r="J159" s="2"/>
      <x:c r="K159" s="2"/>
    </x:row>
    <x:row r="160">
      <x:c r="A160" s="2"/>
      <x:c r="B160" s="2"/>
      <x:c r="C160" s="2"/>
      <x:c r="D160" s="2"/>
      <x:c r="E160" s="2"/>
      <x:c r="F160" s="2"/>
      <x:c r="G160" s="2"/>
      <x:c r="H160" s="2"/>
      <x:c r="I160" s="2"/>
      <x:c r="J160" s="2"/>
      <x:c r="K160" s="2"/>
    </x:row>
    <x:row r="161">
      <x:c r="A161" s="2"/>
      <x:c r="B161" s="2"/>
      <x:c r="C161" s="2"/>
      <x:c r="D161" s="2"/>
      <x:c r="E161" s="2"/>
      <x:c r="F161" s="2"/>
      <x:c r="G161" s="2"/>
      <x:c r="H161" s="2"/>
      <x:c r="I161" s="2"/>
      <x:c r="J161" s="2"/>
      <x:c r="K161" s="2"/>
    </x:row>
    <x:row r="162">
      <x:c r="A162" s="2"/>
      <x:c r="B162" s="2"/>
      <x:c r="C162" s="2"/>
      <x:c r="D162" s="2"/>
      <x:c r="E162" s="2"/>
      <x:c r="F162" s="2"/>
      <x:c r="G162" s="2"/>
      <x:c r="H162" s="2"/>
      <x:c r="I162" s="2"/>
      <x:c r="J162" s="2"/>
      <x:c r="K162" s="2"/>
    </x:row>
    <x:row r="163">
      <x:c r="A163" s="2"/>
      <x:c r="B163" s="2"/>
      <x:c r="C163" s="2"/>
      <x:c r="D163" s="2"/>
      <x:c r="E163" s="2"/>
      <x:c r="F163" s="2"/>
      <x:c r="G163" s="2"/>
      <x:c r="H163" s="2"/>
      <x:c r="I163" s="2"/>
      <x:c r="J163" s="2"/>
      <x:c r="K163" s="2"/>
    </x:row>
    <x:row r="164">
      <x:c r="A164" s="2"/>
      <x:c r="B164" s="2"/>
      <x:c r="C164" s="2"/>
      <x:c r="D164" s="2"/>
      <x:c r="E164" s="2"/>
      <x:c r="F164" s="2"/>
      <x:c r="G164" s="2"/>
      <x:c r="H164" s="2"/>
      <x:c r="I164" s="2"/>
      <x:c r="J164" s="2"/>
      <x:c r="K164" s="2"/>
    </x:row>
    <x:row r="165">
      <x:c r="A165" s="2"/>
      <x:c r="B165" s="2"/>
      <x:c r="C165" s="2"/>
      <x:c r="D165" s="2"/>
      <x:c r="E165" s="2"/>
      <x:c r="F165" s="2"/>
      <x:c r="G165" s="2"/>
      <x:c r="H165" s="2"/>
      <x:c r="I165" s="2"/>
      <x:c r="J165" s="2"/>
      <x:c r="K165" s="2"/>
    </x:row>
    <x:row r="166">
      <x:c r="A166" s="2"/>
      <x:c r="B166" s="2"/>
      <x:c r="C166" s="2"/>
      <x:c r="D166" s="2"/>
      <x:c r="E166" s="2"/>
      <x:c r="F166" s="2"/>
      <x:c r="G166" s="2"/>
      <x:c r="H166" s="2"/>
      <x:c r="I166" s="2"/>
      <x:c r="J166" s="2"/>
      <x:c r="K166" s="2"/>
    </x:row>
    <x:row r="167">
      <x:c r="A167" s="2"/>
      <x:c r="B167" s="2"/>
      <x:c r="C167" s="2"/>
      <x:c r="D167" s="2"/>
      <x:c r="E167" s="2"/>
      <x:c r="F167" s="2"/>
      <x:c r="G167" s="2"/>
      <x:c r="H167" s="2"/>
      <x:c r="I167" s="2"/>
      <x:c r="J167" s="2"/>
      <x:c r="K167" s="2"/>
    </x:row>
    <x:row r="168">
      <x:c r="A168" s="2"/>
      <x:c r="B168" s="2"/>
      <x:c r="C168" s="2"/>
      <x:c r="D168" s="2"/>
      <x:c r="E168" s="2"/>
      <x:c r="F168" s="2"/>
      <x:c r="G168" s="2"/>
      <x:c r="H168" s="2"/>
      <x:c r="I168" s="2"/>
      <x:c r="J168" s="2"/>
      <x:c r="K168" s="2"/>
    </x:row>
    <x:row r="169">
      <x:c r="A169" s="2"/>
      <x:c r="B169" s="2"/>
      <x:c r="C169" s="2"/>
      <x:c r="D169" s="2"/>
      <x:c r="E169" s="2"/>
      <x:c r="F169" s="2"/>
      <x:c r="G169" s="2"/>
      <x:c r="H169" s="2"/>
      <x:c r="I169" s="2"/>
      <x:c r="J169" s="2"/>
      <x:c r="K169" s="2"/>
    </x:row>
    <x:row r="170">
      <x:c r="A170" s="2"/>
      <x:c r="B170" s="2"/>
      <x:c r="C170" s="2"/>
      <x:c r="D170" s="2"/>
      <x:c r="E170" s="2"/>
      <x:c r="F170" s="2"/>
      <x:c r="G170" s="2"/>
      <x:c r="H170" s="2"/>
      <x:c r="I170" s="2"/>
      <x:c r="J170" s="2"/>
      <x:c r="K170" s="2"/>
    </x:row>
    <x:row r="171">
      <x:c r="A171" s="2"/>
      <x:c r="B171" s="2"/>
      <x:c r="C171" s="2"/>
      <x:c r="D171" s="2"/>
      <x:c r="E171" s="2"/>
      <x:c r="F171" s="2"/>
      <x:c r="G171" s="2"/>
      <x:c r="H171" s="2"/>
      <x:c r="I171" s="2"/>
      <x:c r="J171" s="2"/>
      <x:c r="K171" s="2"/>
    </x:row>
    <x:row r="172">
      <x:c r="A172" s="2"/>
      <x:c r="B172" s="2"/>
      <x:c r="C172" s="2"/>
      <x:c r="D172" s="2"/>
      <x:c r="E172" s="2"/>
      <x:c r="F172" s="2"/>
      <x:c r="G172" s="2"/>
      <x:c r="H172" s="2"/>
      <x:c r="I172" s="2"/>
      <x:c r="J172" s="2"/>
      <x:c r="K172" s="2"/>
    </x:row>
    <x:row r="173">
      <x:c r="A173" s="2"/>
      <x:c r="B173" s="2"/>
      <x:c r="C173" s="2"/>
      <x:c r="D173" s="2"/>
      <x:c r="E173" s="2"/>
      <x:c r="F173" s="2"/>
      <x:c r="G173" s="2"/>
      <x:c r="H173" s="2"/>
      <x:c r="I173" s="2"/>
      <x:c r="J173" s="2"/>
      <x:c r="K173" s="2"/>
    </x:row>
    <x:row r="174">
      <x:c r="A174" s="2"/>
      <x:c r="B174" s="2"/>
      <x:c r="C174" s="2"/>
      <x:c r="D174" s="2"/>
      <x:c r="E174" s="2"/>
      <x:c r="F174" s="2"/>
      <x:c r="G174" s="2"/>
      <x:c r="H174" s="2"/>
      <x:c r="I174" s="2"/>
      <x:c r="J174" s="2"/>
      <x:c r="K174" s="2"/>
    </x:row>
    <x:row r="175">
      <x:c r="A175" s="2"/>
      <x:c r="B175" s="2"/>
      <x:c r="C175" s="2"/>
      <x:c r="D175" s="2"/>
      <x:c r="E175" s="2"/>
      <x:c r="F175" s="2"/>
      <x:c r="G175" s="2"/>
      <x:c r="H175" s="2"/>
      <x:c r="I175" s="2"/>
      <x:c r="J175" s="2"/>
      <x:c r="K175" s="2"/>
    </x:row>
    <x:row r="176">
      <x:c r="A176" s="2"/>
      <x:c r="B176" s="2"/>
      <x:c r="C176" s="2"/>
      <x:c r="D176" s="2"/>
      <x:c r="E176" s="2"/>
      <x:c r="F176" s="2"/>
      <x:c r="G176" s="2"/>
      <x:c r="H176" s="2"/>
      <x:c r="I176" s="2"/>
      <x:c r="J176" s="2"/>
      <x:c r="K176" s="2"/>
    </x:row>
    <x:row r="177">
      <x:c r="A177" s="2"/>
      <x:c r="B177" s="2"/>
      <x:c r="C177" s="2"/>
      <x:c r="D177" s="2"/>
      <x:c r="E177" s="2"/>
      <x:c r="F177" s="2"/>
      <x:c r="G177" s="2"/>
      <x:c r="H177" s="2"/>
      <x:c r="I177" s="2"/>
      <x:c r="J177" s="2"/>
      <x:c r="K177" s="2"/>
    </x:row>
    <x:row r="178">
      <x:c r="A178" s="2"/>
      <x:c r="B178" s="2"/>
      <x:c r="C178" s="2"/>
      <x:c r="D178" s="2"/>
      <x:c r="E178" s="2"/>
      <x:c r="F178" s="2"/>
      <x:c r="G178" s="2"/>
      <x:c r="H178" s="2"/>
      <x:c r="I178" s="2"/>
      <x:c r="J178" s="2"/>
      <x:c r="K178" s="2"/>
    </x:row>
    <x:row r="179">
      <x:c r="A179" s="2"/>
      <x:c r="B179" s="2"/>
      <x:c r="C179" s="2"/>
      <x:c r="D179" s="2"/>
      <x:c r="E179" s="2"/>
      <x:c r="F179" s="2"/>
      <x:c r="G179" s="2"/>
      <x:c r="H179" s="2"/>
      <x:c r="I179" s="2"/>
      <x:c r="J179" s="2"/>
      <x:c r="K179" s="2"/>
    </x:row>
    <x:row r="180">
      <x:c r="A180" s="2"/>
      <x:c r="B180" s="2"/>
      <x:c r="C180" s="2"/>
      <x:c r="D180" s="2"/>
      <x:c r="E180" s="2"/>
      <x:c r="F180" s="2"/>
      <x:c r="G180" s="2"/>
      <x:c r="H180" s="2"/>
      <x:c r="I180" s="2"/>
      <x:c r="J180" s="2"/>
      <x:c r="K180" s="2"/>
    </x:row>
    <x:row r="181">
      <x:c r="A181" s="2"/>
      <x:c r="B181" s="2"/>
      <x:c r="C181" s="2"/>
      <x:c r="D181" s="2"/>
      <x:c r="E181" s="2"/>
      <x:c r="F181" s="2"/>
      <x:c r="G181" s="2"/>
      <x:c r="H181" s="2"/>
      <x:c r="I181" s="2"/>
      <x:c r="J181" s="2"/>
      <x:c r="K181" s="2"/>
    </x:row>
    <x:row r="182">
      <x:c r="A182" s="2"/>
      <x:c r="B182" s="2"/>
      <x:c r="C182" s="2"/>
      <x:c r="D182" s="2"/>
      <x:c r="E182" s="2"/>
      <x:c r="F182" s="2"/>
      <x:c r="G182" s="2"/>
      <x:c r="H182" s="2"/>
      <x:c r="I182" s="2"/>
      <x:c r="J182" s="2"/>
      <x:c r="K182" s="2"/>
    </x:row>
    <x:row r="183">
      <x:c r="A183" s="2"/>
      <x:c r="B183" s="2"/>
      <x:c r="C183" s="2"/>
      <x:c r="D183" s="2"/>
      <x:c r="E183" s="2"/>
      <x:c r="F183" s="2"/>
      <x:c r="G183" s="2"/>
      <x:c r="H183" s="2"/>
      <x:c r="I183" s="2"/>
      <x:c r="J183" s="2"/>
      <x:c r="K183" s="2"/>
    </x:row>
    <x:row r="184">
      <x:c r="A184" s="2"/>
      <x:c r="B184" s="2"/>
      <x:c r="C184" s="2"/>
      <x:c r="D184" s="2"/>
      <x:c r="E184" s="2"/>
      <x:c r="F184" s="2"/>
      <x:c r="G184" s="2"/>
      <x:c r="H184" s="2"/>
      <x:c r="I184" s="2"/>
      <x:c r="J184" s="2"/>
      <x:c r="K184" s="2"/>
    </x:row>
    <x:row r="185">
      <x:c r="A185" s="2"/>
      <x:c r="B185" s="2"/>
      <x:c r="C185" s="2"/>
      <x:c r="D185" s="2"/>
      <x:c r="E185" s="2"/>
      <x:c r="F185" s="2"/>
      <x:c r="G185" s="2"/>
      <x:c r="H185" s="2"/>
      <x:c r="I185" s="2"/>
      <x:c r="J185" s="2"/>
      <x:c r="K185" s="2"/>
    </x:row>
    <x:row r="186">
      <x:c r="A186" s="2"/>
      <x:c r="B186" s="2"/>
      <x:c r="C186" s="2"/>
      <x:c r="D186" s="2"/>
      <x:c r="E186" s="2"/>
      <x:c r="F186" s="2"/>
      <x:c r="G186" s="2"/>
      <x:c r="H186" s="2"/>
      <x:c r="I186" s="2"/>
      <x:c r="J186" s="2"/>
      <x:c r="K186" s="2"/>
    </x:row>
    <x:row r="187">
      <x:c r="A187" s="2"/>
      <x:c r="B187" s="2"/>
      <x:c r="C187" s="2"/>
      <x:c r="D187" s="2"/>
      <x:c r="E187" s="2"/>
      <x:c r="F187" s="2"/>
      <x:c r="G187" s="2"/>
      <x:c r="H187" s="2"/>
      <x:c r="I187" s="2"/>
      <x:c r="J187" s="2"/>
      <x:c r="K187" s="2"/>
    </x:row>
    <x:row r="188">
      <x:c r="A188" s="2"/>
      <x:c r="B188" s="2"/>
      <x:c r="C188" s="2"/>
      <x:c r="D188" s="2"/>
      <x:c r="E188" s="2"/>
      <x:c r="F188" s="2"/>
      <x:c r="G188" s="2"/>
      <x:c r="H188" s="2"/>
      <x:c r="I188" s="2"/>
      <x:c r="J188" s="2"/>
      <x:c r="K188" s="2"/>
    </x:row>
    <x:row r="189">
      <x:c r="A189" s="2"/>
      <x:c r="B189" s="2"/>
      <x:c r="C189" s="2"/>
      <x:c r="D189" s="2"/>
      <x:c r="E189" s="2"/>
      <x:c r="F189" s="2"/>
      <x:c r="G189" s="2"/>
      <x:c r="H189" s="2"/>
      <x:c r="I189" s="2"/>
      <x:c r="J189" s="2"/>
      <x:c r="K189" s="2"/>
    </x:row>
    <x:row r="190">
      <x:c r="A190" s="2"/>
      <x:c r="B190" s="2"/>
      <x:c r="C190" s="2"/>
      <x:c r="D190" s="2"/>
      <x:c r="E190" s="2"/>
      <x:c r="F190" s="2"/>
      <x:c r="G190" s="2"/>
      <x:c r="H190" s="2"/>
      <x:c r="I190" s="2"/>
      <x:c r="J190" s="2"/>
      <x:c r="K190" s="2"/>
    </x:row>
    <x:row r="191">
      <x:c r="A191" s="2"/>
      <x:c r="B191" s="2"/>
      <x:c r="C191" s="2"/>
      <x:c r="D191" s="2"/>
      <x:c r="E191" s="2"/>
      <x:c r="F191" s="2"/>
      <x:c r="G191" s="2"/>
      <x:c r="H191" s="2"/>
      <x:c r="I191" s="2"/>
      <x:c r="J191" s="2"/>
      <x:c r="K191" s="2"/>
    </x:row>
    <x:row r="192">
      <x:c r="A192" s="2"/>
      <x:c r="B192" s="2"/>
      <x:c r="C192" s="2"/>
      <x:c r="D192" s="2"/>
      <x:c r="E192" s="2"/>
      <x:c r="F192" s="2"/>
      <x:c r="G192" s="2"/>
      <x:c r="H192" s="2"/>
      <x:c r="I192" s="2"/>
      <x:c r="J192" s="2"/>
      <x:c r="K192" s="2"/>
    </x:row>
    <x:row r="193">
      <x:c r="A193" s="2"/>
      <x:c r="B193" s="2"/>
      <x:c r="C193" s="2"/>
      <x:c r="D193" s="2"/>
      <x:c r="E193" s="2"/>
      <x:c r="F193" s="2"/>
      <x:c r="G193" s="2"/>
      <x:c r="H193" s="2"/>
      <x:c r="I193" s="2"/>
      <x:c r="J193" s="2"/>
      <x:c r="K193" s="2"/>
    </x:row>
    <x:row r="194">
      <x:c r="A194" s="2"/>
      <x:c r="B194" s="2"/>
      <x:c r="C194" s="2"/>
      <x:c r="D194" s="2"/>
      <x:c r="E194" s="2"/>
      <x:c r="F194" s="2"/>
      <x:c r="G194" s="2"/>
      <x:c r="H194" s="2"/>
      <x:c r="I194" s="2"/>
      <x:c r="J194" s="2"/>
      <x:c r="K194" s="2"/>
    </x:row>
    <x:row r="195">
      <x:c r="A195" s="2"/>
      <x:c r="B195" s="2"/>
      <x:c r="C195" s="2"/>
      <x:c r="D195" s="2"/>
      <x:c r="E195" s="2"/>
      <x:c r="F195" s="2"/>
      <x:c r="G195" s="2"/>
      <x:c r="H195" s="2"/>
      <x:c r="I195" s="2"/>
      <x:c r="J195" s="2"/>
      <x:c r="K195" s="2"/>
    </x:row>
    <x:row r="196">
      <x:c r="A196" s="2"/>
      <x:c r="B196" s="2"/>
      <x:c r="C196" s="2"/>
      <x:c r="D196" s="2"/>
      <x:c r="E196" s="2"/>
      <x:c r="F196" s="2"/>
      <x:c r="G196" s="2"/>
      <x:c r="H196" s="2"/>
      <x:c r="I196" s="2"/>
      <x:c r="J196" s="2"/>
      <x:c r="K196" s="2"/>
    </x:row>
    <x:row r="197">
      <x:c r="A197" s="2"/>
      <x:c r="B197" s="2"/>
      <x:c r="C197" s="2"/>
      <x:c r="D197" s="2"/>
      <x:c r="E197" s="2"/>
      <x:c r="F197" s="2"/>
      <x:c r="G197" s="2"/>
      <x:c r="H197" s="2"/>
      <x:c r="I197" s="2"/>
      <x:c r="J197" s="2"/>
      <x:c r="K197" s="2"/>
    </x:row>
    <x:row r="198">
      <x:c r="A198" s="2"/>
      <x:c r="B198" s="2"/>
      <x:c r="C198" s="2"/>
      <x:c r="D198" s="2"/>
      <x:c r="E198" s="2"/>
      <x:c r="F198" s="2"/>
      <x:c r="G198" s="2"/>
      <x:c r="H198" s="2"/>
      <x:c r="I198" s="2"/>
      <x:c r="J198" s="2"/>
      <x:c r="K198" s="2"/>
    </x:row>
    <x:row r="199">
      <x:c r="A199" s="2"/>
      <x:c r="B199" s="2"/>
      <x:c r="C199" s="2"/>
      <x:c r="D199" s="2"/>
      <x:c r="E199" s="2"/>
      <x:c r="F199" s="2"/>
      <x:c r="G199" s="2"/>
      <x:c r="H199" s="2"/>
      <x:c r="I199" s="2"/>
      <x:c r="J199" s="2"/>
      <x:c r="K199" s="2"/>
    </x:row>
    <x:row r="200">
      <x:c r="A200" s="2"/>
      <x:c r="B200" s="2"/>
      <x:c r="C200" s="2"/>
      <x:c r="D200" s="2"/>
      <x:c r="E200" s="2"/>
      <x:c r="F200" s="2"/>
      <x:c r="G200" s="2"/>
      <x:c r="H200" s="2"/>
      <x:c r="I200" s="2"/>
      <x:c r="J200" s="2"/>
      <x:c r="K200" s="2"/>
    </x:row>
    <x:row r="201">
      <x:c r="A201" s="2"/>
      <x:c r="B201" s="2"/>
      <x:c r="C201" s="2"/>
      <x:c r="D201" s="2"/>
      <x:c r="E201" s="2"/>
      <x:c r="F201" s="2"/>
      <x:c r="G201" s="2"/>
      <x:c r="H201" s="2"/>
      <x:c r="I201" s="2"/>
      <x:c r="J201" s="2"/>
      <x:c r="K201" s="2"/>
    </x:row>
    <x:row r="202">
      <x:c r="A202" s="2"/>
      <x:c r="B202" s="2"/>
      <x:c r="C202" s="2"/>
      <x:c r="D202" s="2"/>
      <x:c r="E202" s="2"/>
      <x:c r="F202" s="2"/>
      <x:c r="G202" s="2"/>
      <x:c r="H202" s="2"/>
      <x:c r="I202" s="2"/>
      <x:c r="J202" s="2"/>
      <x:c r="K202" s="2"/>
    </x:row>
    <x:row r="203">
      <x:c r="A203" s="2"/>
      <x:c r="B203" s="2"/>
      <x:c r="C203" s="2"/>
      <x:c r="D203" s="2"/>
      <x:c r="E203" s="2"/>
      <x:c r="F203" s="2"/>
      <x:c r="G203" s="2"/>
      <x:c r="H203" s="2"/>
      <x:c r="I203" s="2"/>
      <x:c r="J203" s="2"/>
      <x:c r="K203" s="2"/>
    </x:row>
    <x:row r="204">
      <x:c r="A204" s="2"/>
      <x:c r="B204" s="2"/>
      <x:c r="C204" s="2"/>
      <x:c r="D204" s="2"/>
      <x:c r="E204" s="2"/>
      <x:c r="F204" s="2"/>
      <x:c r="G204" s="2"/>
      <x:c r="H204" s="2"/>
      <x:c r="I204" s="2"/>
      <x:c r="J204" s="2"/>
      <x:c r="K204" s="2"/>
    </x:row>
    <x:row r="205">
      <x:c r="A205" s="2"/>
      <x:c r="B205" s="2"/>
      <x:c r="C205" s="2"/>
      <x:c r="D205" s="2"/>
      <x:c r="E205" s="2"/>
      <x:c r="F205" s="2"/>
      <x:c r="G205" s="2"/>
      <x:c r="H205" s="2"/>
      <x:c r="I205" s="2"/>
      <x:c r="J205" s="2"/>
      <x:c r="K205" s="2"/>
    </x:row>
    <x:row r="206">
      <x:c r="A206" s="2"/>
      <x:c r="B206" s="2"/>
      <x:c r="C206" s="2"/>
      <x:c r="D206" s="2"/>
      <x:c r="E206" s="2"/>
      <x:c r="F206" s="2"/>
      <x:c r="G206" s="2"/>
      <x:c r="H206" s="2"/>
      <x:c r="I206" s="2"/>
      <x:c r="J206" s="2"/>
      <x:c r="K206" s="2"/>
    </x:row>
    <x:row r="207">
      <x:c r="A207" s="2"/>
      <x:c r="B207" s="2"/>
      <x:c r="C207" s="2"/>
      <x:c r="D207" s="2"/>
      <x:c r="E207" s="2"/>
      <x:c r="F207" s="2"/>
      <x:c r="G207" s="2"/>
      <x:c r="H207" s="2"/>
      <x:c r="I207" s="2"/>
      <x:c r="J207" s="2"/>
      <x:c r="K207" s="2"/>
    </x:row>
    <x:row r="208">
      <x:c r="A208" s="2"/>
      <x:c r="B208" s="2"/>
      <x:c r="C208" s="2"/>
      <x:c r="D208" s="2"/>
      <x:c r="E208" s="2"/>
      <x:c r="F208" s="2"/>
      <x:c r="G208" s="2"/>
      <x:c r="H208" s="2"/>
      <x:c r="I208" s="2"/>
      <x:c r="J208" s="2"/>
      <x:c r="K208" s="2"/>
    </x:row>
    <x:row r="209">
      <x:c r="A209" s="2"/>
      <x:c r="B209" s="2"/>
      <x:c r="C209" s="2"/>
      <x:c r="D209" s="2"/>
      <x:c r="E209" s="2"/>
      <x:c r="F209" s="2"/>
      <x:c r="G209" s="2"/>
      <x:c r="H209" s="2"/>
      <x:c r="I209" s="2"/>
      <x:c r="J209" s="2"/>
      <x:c r="K209" s="2"/>
    </x:row>
    <x:row r="210">
      <x:c r="A210" s="2"/>
      <x:c r="B210" s="2"/>
      <x:c r="C210" s="2"/>
      <x:c r="D210" s="2"/>
      <x:c r="E210" s="2"/>
      <x:c r="F210" s="2"/>
      <x:c r="G210" s="2"/>
      <x:c r="H210" s="2"/>
      <x:c r="I210" s="2"/>
      <x:c r="J210" s="2"/>
      <x:c r="K210" s="2"/>
    </x:row>
    <x:row r="211">
      <x:c r="A211" s="2"/>
      <x:c r="B211" s="2"/>
      <x:c r="C211" s="2"/>
      <x:c r="D211" s="2"/>
      <x:c r="E211" s="2"/>
      <x:c r="F211" s="2"/>
      <x:c r="G211" s="2"/>
      <x:c r="H211" s="2"/>
      <x:c r="I211" s="2"/>
      <x:c r="J211" s="2"/>
      <x:c r="K211" s="2"/>
    </x:row>
    <x:row r="212">
      <x:c r="A212" s="2"/>
      <x:c r="B212" s="2"/>
      <x:c r="C212" s="2"/>
      <x:c r="D212" s="2"/>
      <x:c r="E212" s="2"/>
      <x:c r="F212" s="2"/>
      <x:c r="G212" s="2"/>
      <x:c r="H212" s="2"/>
      <x:c r="I212" s="2"/>
      <x:c r="J212" s="2"/>
      <x:c r="K212" s="2"/>
    </x:row>
    <x:row r="213">
      <x:c r="A213" s="2"/>
      <x:c r="B213" s="2"/>
      <x:c r="C213" s="2"/>
      <x:c r="D213" s="2"/>
      <x:c r="E213" s="2"/>
      <x:c r="F213" s="2"/>
      <x:c r="G213" s="2"/>
      <x:c r="H213" s="2"/>
      <x:c r="I213" s="2"/>
      <x:c r="J213" s="2"/>
      <x:c r="K213" s="2"/>
    </x:row>
    <x:row r="214">
      <x:c r="A214" s="2"/>
      <x:c r="B214" s="2"/>
      <x:c r="C214" s="2"/>
      <x:c r="D214" s="2"/>
      <x:c r="E214" s="2"/>
      <x:c r="F214" s="2"/>
      <x:c r="G214" s="2"/>
      <x:c r="H214" s="2"/>
      <x:c r="I214" s="2"/>
      <x:c r="J214" s="2"/>
      <x:c r="K214" s="2"/>
    </x:row>
    <x:row r="215">
      <x:c r="A215" s="2"/>
      <x:c r="B215" s="2"/>
      <x:c r="C215" s="2"/>
      <x:c r="D215" s="2"/>
      <x:c r="E215" s="2"/>
      <x:c r="F215" s="2"/>
      <x:c r="G215" s="2"/>
      <x:c r="H215" s="2"/>
      <x:c r="I215" s="2"/>
      <x:c r="J215" s="2"/>
      <x:c r="K215" s="2"/>
    </x:row>
    <x:row r="216">
      <x:c r="A216" s="2"/>
      <x:c r="B216" s="2"/>
      <x:c r="C216" s="2"/>
      <x:c r="D216" s="2"/>
      <x:c r="E216" s="2"/>
      <x:c r="F216" s="2"/>
      <x:c r="G216" s="2"/>
      <x:c r="H216" s="2"/>
      <x:c r="I216" s="2"/>
      <x:c r="J216" s="2"/>
      <x:c r="K216" s="2"/>
    </x:row>
    <x:row r="217">
      <x:c r="A217" s="2"/>
      <x:c r="B217" s="2"/>
      <x:c r="C217" s="2"/>
      <x:c r="D217" s="2"/>
      <x:c r="E217" s="2"/>
      <x:c r="F217" s="2"/>
      <x:c r="G217" s="2"/>
      <x:c r="H217" s="2"/>
      <x:c r="I217" s="2"/>
      <x:c r="J217" s="2"/>
      <x:c r="K217" s="2"/>
    </x:row>
    <x:row r="218">
      <x:c r="A218" s="2"/>
      <x:c r="B218" s="2"/>
      <x:c r="C218" s="2"/>
      <x:c r="D218" s="2"/>
      <x:c r="E218" s="2"/>
      <x:c r="F218" s="2"/>
      <x:c r="G218" s="2"/>
      <x:c r="H218" s="2"/>
      <x:c r="I218" s="2"/>
      <x:c r="J218" s="2"/>
      <x:c r="K218" s="2"/>
    </x:row>
    <x:row r="219">
      <x:c r="A219" s="2"/>
      <x:c r="B219" s="2"/>
      <x:c r="C219" s="2"/>
      <x:c r="D219" s="2"/>
      <x:c r="E219" s="2"/>
      <x:c r="F219" s="2"/>
      <x:c r="G219" s="2"/>
      <x:c r="H219" s="2"/>
      <x:c r="I219" s="2"/>
      <x:c r="J219" s="2"/>
      <x:c r="K219" s="2"/>
    </x:row>
    <x:row r="220">
      <x:c r="A220" s="2"/>
      <x:c r="B220" s="2"/>
      <x:c r="C220" s="2"/>
      <x:c r="D220" s="2"/>
      <x:c r="E220" s="2"/>
      <x:c r="F220" s="2"/>
      <x:c r="G220" s="2"/>
      <x:c r="H220" s="2"/>
      <x:c r="I220" s="2"/>
      <x:c r="J220" s="2"/>
      <x:c r="K220" s="2"/>
    </x:row>
  </x:sheetData>
  <x:mergeCells>
    <x:mergeCell ref="A1:J1"/>
    <x:mergeCell ref="A2:J2"/>
    <x:mergeCell ref="A3:J4"/>
  </x:mergeCells>
  <x:pageMargins left="0.7" right="0.7" top="0.75" bottom="0.75" header="0.3" footer="0.3"/>
  <x:tableParts count="1">
    <x:tablePart xmlns:r="http://schemas.openxmlformats.org/officeDocument/2006/relationships" r:id="R2a214ef2508c43f0"/>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25" hidden="0" customWidth="1"/>
    <x:col min="2" max="2" width="45" hidden="0" customWidth="1"/>
    <x:col min="3" max="3" width="10.630000114440918" hidden="0" customWidth="1"/>
    <x:col min="4" max="4" width="87.5" hidden="0" customWidth="1"/>
    <x:col min="5" max="5" width="45" hidden="0" customWidth="1"/>
  </x:cols>
  <x:sheetData>
    <x:row r="1" ht="40" customHeight="1">
      <x:c r="A1" s="5" t="str">
        <x:v>Required scope with no complete price</x:v>
      </x:c>
      <x:c r="B1" s="4"/>
      <x:c r="C1" s="4"/>
      <x:c r="D1" s="4"/>
      <x:c r="E1" s="4"/>
      <x:c r="F1" s="2"/>
      <x:c r="G1" s="2"/>
      <x:c r="H1" s="2"/>
      <x:c r="I1" s="2"/>
      <x:c r="J1" s="2"/>
      <x:c r="K1" s="2"/>
    </x:row>
    <x:row r="2" ht="28" customHeight="1">
      <x:c r="A2" s="2" t="str">
        <x:v>Blank prices mean unresolved cost, never zero. These requirements are outside the priced subtotal.</x:v>
      </x:c>
      <x:c r="B2" s="2"/>
      <x:c r="C2" s="2"/>
      <x:c r="D2" s="2"/>
      <x:c r="E2" s="2"/>
      <x:c r="F2" s="2"/>
      <x:c r="G2" s="2"/>
      <x:c r="H2" s="2"/>
      <x:c r="I2" s="2"/>
      <x:c r="J2" s="2"/>
      <x:c r="K2" s="2"/>
    </x:row>
    <x:row r="3">
      <x:c r="A3" s="2"/>
      <x:c r="B3" s="2"/>
      <x:c r="C3" s="2"/>
      <x:c r="D3" s="2"/>
      <x:c r="E3" s="2"/>
      <x:c r="F3" s="2"/>
      <x:c r="G3" s="2"/>
      <x:c r="H3" s="2"/>
      <x:c r="I3" s="2"/>
      <x:c r="J3" s="2"/>
      <x:c r="K3" s="2"/>
    </x:row>
    <x:row r="4" ht="36" customHeight="1">
      <x:c r="A4" s="7" t="str">
        <x:v>ID</x:v>
      </x:c>
      <x:c r="B4" s="7" t="str">
        <x:v>Required item / residual scope</x:v>
      </x:c>
      <x:c r="C4" s="7" t="str">
        <x:v>Quantity</x:v>
      </x:c>
      <x:c r="D4" s="7" t="str">
        <x:v>Work or quote needed</x:v>
      </x:c>
      <x:c r="E4" s="7" t="str">
        <x:v>Source / specification</x:v>
      </x:c>
      <x:c r="F4" s="2"/>
      <x:c r="G4" s="2"/>
      <x:c r="H4" s="2"/>
      <x:c r="I4" s="2"/>
      <x:c r="J4" s="2"/>
      <x:c r="K4" s="2"/>
    </x:row>
    <x:row r="5" ht="96" customHeight="1">
      <x:c r="A5" s="6" t="str">
        <x:v>MET-GAP-1</x:v>
      </x:c>
      <x:c r="B5" s="6" t="str">
        <x:v>A1011 raw sheet, nominal .120 in</x:v>
      </x:c>
      <x:c r="C5" s="6" t="str">
        <x:v>2</x:v>
      </x:c>
      <x:c r="D5" s="6" t="str">
        <x:v>48 x96 in. Current pan, tank, slats and matching .120 parts; use active two-sheet layout.</x:v>
      </x:c>
      <x:c r="E5" s="6" t="str"/>
      <x:c r="F5" s="2"/>
      <x:c r="G5" s="2"/>
      <x:c r="H5" s="2"/>
      <x:c r="I5" s="2"/>
      <x:c r="J5" s="2"/>
      <x:c r="K5" s="2"/>
    </x:row>
    <x:row r="6" ht="96" customHeight="1">
      <x:c r="A6" s="6" t="str">
        <x:v>MET-GAP-2</x:v>
      </x:c>
      <x:c r="B6" s="6" t="str">
        <x:v>A36 carbon steel sheet, finish3.000 mm</x:v>
      </x:c>
      <x:c r="C6" s="6" t="str">
        <x:v>1</x:v>
      </x:c>
      <x:c r="D6" s="6" t="str">
        <x:v>36 x48 in. 28 original flats plus2 Ystop switch backs and1 Xstop switch back. Obtain actual3mm or enough oversize stock to finish3mm; inch1/8 is not dimensionally identical.</x:v>
      </x:c>
      <x:c r="E6" s="6" t="str"/>
      <x:c r="F6" s="2"/>
      <x:c r="G6" s="2"/>
      <x:c r="H6" s="2"/>
      <x:c r="I6" s="2"/>
      <x:c r="J6" s="2"/>
      <x:c r="K6" s="2"/>
    </x:row>
    <x:row r="7" ht="96" customHeight="1">
      <x:c r="A7" s="6" t="str">
        <x:v>MET-GAP-3</x:v>
      </x:c>
      <x:c r="B7" s="6" t="str">
        <x:v>Carbon steel sheet, finish1.500 mm</x:v>
      </x:c>
      <x:c r="C7" s="6" t="str">
        <x:v>1</x:v>
      </x:c>
      <x:c r="D7" s="6" t="str">
        <x:v>24 x24 in. Cabinet drip shield548.0274 x446.4 mm; avoid assuming16ga equals1.5mm.</x:v>
      </x:c>
      <x:c r="E7" s="6" t="str"/>
      <x:c r="F7" s="2"/>
      <x:c r="G7" s="2"/>
      <x:c r="H7" s="2"/>
      <x:c r="I7" s="2"/>
      <x:c r="J7" s="2"/>
      <x:c r="K7" s="2"/>
    </x:row>
    <x:row r="8" ht="96" customHeight="1">
      <x:c r="A8" s="6" t="str">
        <x:v>MET-GAP-4</x:v>
      </x:c>
      <x:c r="B8" s="6" t="str">
        <x:v>304 stainless,1.000 mm</x:v>
      </x:c>
      <x:c r="C8" s="6" t="str">
        <x:v>1</x:v>
      </x:c>
      <x:c r="D8" s="6" t="str">
        <x:v>12 x12 in. All25 float-guard flat parts, including15 missing from old nest.</x:v>
      </x:c>
      <x:c r="E8" s="6" t="str"/>
      <x:c r="F8" s="2"/>
      <x:c r="G8" s="2"/>
      <x:c r="H8" s="2"/>
      <x:c r="I8" s="2"/>
      <x:c r="J8" s="2"/>
      <x:c r="K8" s="2"/>
    </x:row>
    <x:row r="9" ht="96" customHeight="1">
      <x:c r="A9" s="6" t="str">
        <x:v>MET-GAP-5</x:v>
      </x:c>
      <x:c r="B9" s="6" t="str">
        <x:v>304 stainless,1.500 mm</x:v>
      </x:c>
      <x:c r="C9" s="6" t="str">
        <x:v>1</x:v>
      </x:c>
      <x:c r="D9" s="6" t="str">
        <x:v>24 x36 in. Overflow catch, basket/splash parts and39.4mm vent cap;12 parts.</x:v>
      </x:c>
      <x:c r="E9" s="6" t="str"/>
      <x:c r="F9" s="2"/>
      <x:c r="G9" s="2"/>
      <x:c r="H9" s="2"/>
      <x:c r="I9" s="2"/>
      <x:c r="J9" s="2"/>
      <x:c r="K9" s="2"/>
    </x:row>
    <x:row r="10" ht="96" customHeight="1">
      <x:c r="A10" s="6" t="str">
        <x:v>MET-GAP-6</x:v>
      </x:c>
      <x:c r="B10" s="6" t="str">
        <x:v>304 stainless,2.000 mm</x:v>
      </x:c>
      <x:c r="C10" s="6" t="str">
        <x:v>1</x:v>
      </x:c>
      <x:c r="D10" s="6" t="str">
        <x:v>12 x12 in. One180x140 mm basket rim; a200x160 mm cut blank also suffices with10mm edge margin.</x:v>
      </x:c>
      <x:c r="E10" s="6" t="str"/>
      <x:c r="F10" s="2"/>
      <x:c r="G10" s="2"/>
      <x:c r="H10" s="2"/>
      <x:c r="I10" s="2"/>
      <x:c r="J10" s="2"/>
      <x:c r="K10" s="2"/>
    </x:row>
    <x:row r="11" ht="96" customHeight="1">
      <x:c r="A11" s="6" t="str">
        <x:v>MET-GAP-7</x:v>
      </x:c>
      <x:c r="B11" s="6" t="str">
        <x:v>304 stainless,3.048 mm finished</x:v>
      </x:c>
      <x:c r="C11" s="6" t="str">
        <x:v>1</x:v>
      </x:c>
      <x:c r="D11" s="6" t="str">
        <x:v>12 x12 in. Five float ledges andfive sliders. Confirm metric/USstock treatment before substituting.</x:v>
      </x:c>
      <x:c r="E11" s="6" t="str"/>
      <x:c r="F11" s="2"/>
      <x:c r="G11" s="2"/>
      <x:c r="H11" s="2"/>
      <x:c r="I11" s="2"/>
      <x:c r="J11" s="2"/>
      <x:c r="K11" s="2"/>
    </x:row>
    <x:row r="12" ht="96" customHeight="1">
      <x:c r="A12" s="6" t="str">
        <x:v>MET-GAP-8</x:v>
      </x:c>
      <x:c r="B12" s="6" t="str">
        <x:v>304 stainless,6.000 mm finished</x:v>
      </x:c>
      <x:c r="C12" s="6" t="str">
        <x:v>1</x:v>
      </x:c>
      <x:c r="D12" s="6" t="str">
        <x:v>12 x12 in. Four50x155mm andone50x115mm backrails.</x:v>
      </x:c>
      <x:c r="E12" s="6" t="str"/>
      <x:c r="F12" s="2"/>
      <x:c r="G12" s="2"/>
      <x:c r="H12" s="2"/>
      <x:c r="I12" s="2"/>
      <x:c r="J12" s="2"/>
      <x:c r="K12" s="2"/>
    </x:row>
    <x:row r="13" ht="96" customHeight="1">
      <x:c r="A13" s="6" t="str">
        <x:v>MET-GAP-9</x:v>
      </x:c>
      <x:c r="B13" s="6" t="str">
        <x:v>Weldable mild-steel round bar</x:v>
      </x:c>
      <x:c r="C13" s="6" t="str">
        <x:v>1</x:v>
      </x:c>
      <x:c r="D13" s="6" t="str">
        <x:v>1.25 in diameter x24 in. 18 bungs OD30x10mm and18 plugs OD28x16mm. 18*(10+3)+18*(16+3)+10=586 mm, within609.6mm; turn OD andthreads.</x:v>
      </x:c>
      <x:c r="E13" s="6" t="str"/>
      <x:c r="F13" s="2"/>
      <x:c r="G13" s="2"/>
      <x:c r="H13" s="2"/>
      <x:c r="I13" s="2"/>
      <x:c r="J13" s="2"/>
      <x:c r="K13" s="2"/>
    </x:row>
    <x:row r="14" ht="96" customHeight="1">
      <x:c r="A14" s="6" t="str">
        <x:v>MET-GAP-10</x:v>
      </x:c>
      <x:c r="B14" s="6" t="str">
        <x:v>1215 steel hex bar</x:v>
      </x:c>
      <x:c r="C14" s="6" t="str">
        <x:v>1</x:v>
      </x:c>
      <x:c r="D14" s="6" t="str">
        <x:v>1/2 in AF x6 in. Three12AF x28mm link couplers; mill12AF, drill andtap M6 RH/LH. Do not credit unowned scrap.</x:v>
      </x:c>
      <x:c r="E14" s="6" t="str"/>
      <x:c r="F14" s="2"/>
      <x:c r="G14" s="2"/>
      <x:c r="H14" s="2"/>
      <x:c r="I14" s="2"/>
      <x:c r="J14" s="2"/>
      <x:c r="K14" s="2"/>
    </x:row>
    <x:row r="15" ht="96" customHeight="1">
      <x:c r="A15" s="6" t="str">
        <x:v>MET-GAP-11</x:v>
      </x:c>
      <x:c r="B15" s="6" t="str">
        <x:v>A36 steel rectangular bar</x:v>
      </x:c>
      <x:c r="C15" s="6" t="str">
        <x:v>1</x:v>
      </x:c>
      <x:c r="D15" s="6" t="str">
        <x:v>1.25 x2 x12 in. Two20x45x26mm Xstop blocks;two26.8x30x28.3mm Ycams;one30x20x28.3mm Xcam. Saw/billet machining route includes cam web from sameblank, preservinggeometry.</x:v>
      </x:c>
      <x:c r="E15" s="6" t="str"/>
      <x:c r="F15" s="2"/>
      <x:c r="G15" s="2"/>
      <x:c r="H15" s="2"/>
      <x:c r="I15" s="2"/>
      <x:c r="J15" s="2"/>
      <x:c r="K15" s="2"/>
    </x:row>
    <x:row r="16" ht="96" customHeight="1">
      <x:c r="A16" s="6" t="str">
        <x:v>MET-GAP-12</x:v>
      </x:c>
      <x:c r="B16" s="6" t="str">
        <x:v>304 stainless round bar</x:v>
      </x:c>
      <x:c r="C16" s="6" t="str">
        <x:v>1</x:v>
      </x:c>
      <x:c r="D16" s="6" t="str">
        <x:v>1.75 in diameter x2 in. One OD39.4x12mm machinedvent sleeve.</x:v>
      </x:c>
      <x:c r="E16" s="6" t="str"/>
      <x:c r="F16" s="2"/>
      <x:c r="G16" s="2"/>
      <x:c r="H16" s="2"/>
      <x:c r="I16" s="2"/>
      <x:c r="J16" s="2"/>
      <x:c r="K16" s="2"/>
    </x:row>
    <x:row r="17" ht="96" customHeight="1">
      <x:c r="A17" s="6" t="str">
        <x:v>MET-GAP-13</x:v>
      </x:c>
      <x:c r="B17" s="6" t="str">
        <x:v>EPDM gasket sheet</x:v>
      </x:c>
      <x:c r="C17" s="6" t="str">
        <x:v>1</x:v>
      </x:c>
      <x:c r="D17" s="6" t="str">
        <x:v>2mm thick, at least986.096x686.096mm raw. One-piece966.096x666.096 mm reservoirgasket with10mm cuttingmargin. Any strips/splices are adesignchange.</x:v>
      </x:c>
      <x:c r="E17" s="6" t="str"/>
      <x:c r="F17" s="2"/>
      <x:c r="G17" s="2"/>
      <x:c r="H17" s="2"/>
      <x:c r="I17" s="2"/>
      <x:c r="J17" s="2"/>
      <x:c r="K17" s="2"/>
    </x:row>
    <x:row r="18" ht="96" customHeight="1">
      <x:c r="A18" s="6" t="str">
        <x:v>MET-GAP-14</x:v>
      </x:c>
      <x:c r="B18" s="6" t="str">
        <x:v>3/4 in MDF sheet</x:v>
      </x:c>
      <x:c r="C18" s="6" t="str">
        <x:v>1</x:v>
      </x:c>
      <x:c r="D18" s="6" t="str">
        <x:v>48 x96 in. Six495x397mm spoilboards; use remainder forfour500x20mm staging bars surfaced to15mm. Do not purchase asecond MDF sheet.</x:v>
      </x:c>
      <x:c r="E18" s="6" t="str"/>
      <x:c r="F18" s="2"/>
      <x:c r="G18" s="2"/>
      <x:c r="H18" s="2"/>
      <x:c r="I18" s="2"/>
      <x:c r="J18" s="2"/>
      <x:c r="K18" s="2"/>
    </x:row>
    <x:row r="19" ht="96" customHeight="1">
      <x:c r="A19" s="6" t="str">
        <x:v>HW-GAP-H02</x:v>
      </x:c>
      <x:c r="B19" s="6" t="str">
        <x:v>Sand-port plugs and seals</x:v>
      </x:c>
      <x:c r="C19" s="6" t="str"/>
      <x:c r="D19" s="6" t="str">
        <x:v>18 custom M20 x 1.5 plugs are owner turned. Do not pay a separate custom-parts charge over the round stock. Commercial DIN908 plugs have different head/thread lengths. Gaskets still required.</x:v>
      </x:c>
      <x:c r="E19" s="6" t="str"/>
      <x:c r="F19" s="2"/>
      <x:c r="G19" s="2"/>
      <x:c r="H19" s="2"/>
      <x:c r="I19" s="2"/>
      <x:c r="J19" s="2"/>
      <x:c r="K19" s="2"/>
    </x:row>
    <x:row r="20" ht="96" customHeight="1">
      <x:c r="A20" s="6" t="str">
        <x:v>HW-GAP-H03</x:v>
      </x:c>
      <x:c r="B20" s="6" t="str">
        <x:v>Cover fasteners, storage liners and retaining hardware</x:v>
      </x:c>
      <x:c r="C20" s="6" t="str"/>
      <x:c r="D20" s="6" t="str">
        <x:v>24 M8 x 16 screws cost $5.136 from N4; 24 M8 washers, 36 M6 weld nuts, 20 M8 weld nuts, liners and straps remain. Metals for covers/eyes already elsewhere.</x:v>
      </x:c>
      <x:c r="E20" s="6" t="str"/>
      <x:c r="F20" s="2"/>
      <x:c r="G20" s="2"/>
      <x:c r="H20" s="2"/>
      <x:c r="I20" s="2"/>
      <x:c r="J20" s="2"/>
      <x:c r="K20" s="2"/>
    </x:row>
    <x:row r="21" ht="96" customHeight="1">
      <x:c r="A21" s="6" t="str">
        <x:v>HW-GAP-H04</x:v>
      </x:c>
      <x:c r="B21" s="6" t="str">
        <x:v>Motion shoulder screws, race shims, jam nuts and mounting screws</x:v>
      </x:c>
      <x:c r="C21" s="6" t="str"/>
      <x:c r="D21" s="6" t="str">
        <x:v>Ordinary Nutty motion screw packs N7-N14 total $60.275, plus 11 class 8 M6 nuts $0.22 and existing 16 M8x16 allocation $3.424. BelMetric three class 8 LH nuts $0.90; FastenerMart 25 shoulder screws $17.40. Precision shims/washers, six M5 locking nuts and supplier-dependent rail/HMS fastener count remain. Purchased long screws require specified owner shortening before assembly.</x:v>
      </x:c>
      <x:c r="E21" s="6" t="str"/>
      <x:c r="F21" s="2"/>
      <x:c r="G21" s="2"/>
      <x:c r="H21" s="2"/>
      <x:c r="I21" s="2"/>
      <x:c r="J21" s="2"/>
      <x:c r="K21" s="2"/>
    </x:row>
    <x:row r="22" ht="96" customHeight="1">
      <x:c r="A22" s="6" t="str">
        <x:v>HW-GAP-H06</x:v>
      </x:c>
      <x:c r="B22" s="6" t="str">
        <x:v>M5 tie screws, 60 anchors, jam nuts and DIN 7349 heavy washers</x:v>
      </x:c>
      <x:c r="C22" s="6" t="str"/>
      <x:c r="D22" s="6" t="str">
        <x:v>120 M5x12 screws $12.36 + 120 class 8 M5 nuts $1.44 + 60 heavy washers $39.60 = $53.40 goods before Norelem freight. Exact DIN913 M5x25 100-pack $13.82 is excluded because supplier disclaims tensile use. Select a tensile-rated stud or reviewed owner-fabricated grade-rated stud route.</x:v>
      </x:c>
      <x:c r="E22" s="6" t="str"/>
      <x:c r="F22" s="2"/>
      <x:c r="G22" s="2"/>
      <x:c r="H22" s="2"/>
      <x:c r="I22" s="2"/>
      <x:c r="J22" s="2"/>
      <x:c r="K22" s="2"/>
    </x:row>
    <x:row r="23" ht="96" customHeight="1">
      <x:c r="A23" s="6" t="str">
        <x:v>HW-GAP-H07</x:v>
      </x:c>
      <x:c r="B23" s="6" t="str">
        <x:v>16 M8 beam drawdowns, nuts and compression sleeves</x:v>
      </x:c>
      <x:c r="C23" s="6" t="str"/>
      <x:c r="D23" s="6" t="str">
        <x:v>16 M8 x 80 screws $10.848. Compression sleeves are owner cut from metal stock, labor $0. Weld nuts count with H03 exactly once.</x:v>
      </x:c>
      <x:c r="E23" s="6" t="str"/>
      <x:c r="F23" s="2"/>
      <x:c r="G23" s="2"/>
      <x:c r="H23" s="2"/>
      <x:c r="I23" s="2"/>
      <x:c r="J23" s="2"/>
      <x:c r="K23" s="2"/>
    </x:row>
    <x:row r="24" ht="96" customHeight="1">
      <x:c r="A24" s="6" t="str">
        <x:v>HW-GAP-H08</x:v>
      </x:c>
      <x:c r="B24" s="6" t="str">
        <x:v>MDF retention, handles and ordinary work clamps</x:v>
      </x:c>
      <x:c r="C24" s="6" t="str"/>
      <x:c r="D24" s="6" t="str">
        <x:v>60 M5 x 20 MDF screws $9.30. H05 already includes matching 60 square nuts. Owner-fabricated handles have $0 labor but retain raw-stock allocation. Work clamps not priced/qualified.</x:v>
      </x:c>
      <x:c r="E24" s="6" t="str"/>
      <x:c r="F24" s="2"/>
      <x:c r="G24" s="2"/>
      <x:c r="H24" s="2"/>
      <x:c r="I24" s="2"/>
      <x:c r="J24" s="2"/>
      <x:c r="K24" s="2"/>
    </x:row>
    <x:row r="25" ht="96" customHeight="1">
      <x:c r="A25" s="6" t="str">
        <x:v>HW-GAP-H09</x:v>
      </x:c>
      <x:c r="B25" s="6" t="str">
        <x:v>SKF SA6C right-hand rod end</x:v>
      </x:c>
      <x:c r="C25" s="6" t="str"/>
      <x:c r="D25" s="6" t="str">
        <x:v>3 SKF SA6C at $49.32 is related-product benchmark, not confirmed landed offer. VXB alternative is separate.</x:v>
      </x:c>
      <x:c r="E25" s="6" t="str"/>
      <x:c r="F25" s="2"/>
      <x:c r="G25" s="2"/>
      <x:c r="H25" s="2"/>
      <x:c r="I25" s="2"/>
      <x:c r="J25" s="2"/>
      <x:c r="K25" s="2"/>
    </x:row>
    <x:row r="26" ht="96" customHeight="1">
      <x:c r="A26" s="6" t="str">
        <x:v>HW-GAP-R02</x:v>
      </x:c>
      <x:c r="B26" s="6" t="str">
        <x:v>Dust shoe and extraction hose</x:v>
      </x:c>
      <x:c r="C26" s="6" t="str"/>
      <x:c r="D26" s="6" t="str">
        <x:v>65–69 mm SainSmart shoe $39.99. Add 38 mm hose and support; actual extractor port and available hose unknown. No extractor purchase silently included.</x:v>
      </x:c>
      <x:c r="E26" s="6" t="str"/>
      <x:c r="F26" s="2"/>
      <x:c r="G26" s="2"/>
      <x:c r="H26" s="2"/>
      <x:c r="I26" s="2"/>
      <x:c r="J26" s="2"/>
      <x:c r="K26" s="2"/>
    </x:row>
    <x:row r="27" ht="96" customHeight="1">
      <x:c r="A27" s="6" t="str">
        <x:v>HW-GAP-R03</x:v>
      </x:c>
      <x:c r="B27" s="6" t="str">
        <x:v>Starter cutters and surfacing tool</x:v>
      </x:c>
      <x:c r="C27" s="6" t="str"/>
      <x:c r="D27" s="6" t="str">
        <x:v>SpeTool WD-1 initially showed $64.99 USD, subsequent source localized to SGD and sold out; not accepted as a stable purchasing quote. Four bits omit a surfacing tool. Need quarter-inch collet and quarter-inch shank surfacer.</x:v>
      </x:c>
      <x:c r="E27" s="6" t="str"/>
      <x:c r="F27" s="2"/>
      <x:c r="G27" s="2"/>
      <x:c r="H27" s="2"/>
      <x:c r="I27" s="2"/>
      <x:c r="J27" s="2"/>
      <x:c r="K27" s="2"/>
    </x:row>
    <x:row r="28" ht="96" customHeight="1">
      <x:c r="A28" s="6" t="str">
        <x:v>HW-GAP-R04</x:v>
      </x:c>
      <x:c r="B28" s="6" t="str">
        <x:v>Touch plate / tool-height probe</x:v>
      </x:c>
      <x:c r="C28" s="6" t="str"/>
      <x:c r="D28" s="6" t="str">
        <x:v>Simple SainSmart plate $8.99, freight unquoted. $16.01 goods reduction possible, not a delivered reduction.</x:v>
      </x:c>
      <x:c r="E28" s="6" t="str"/>
      <x:c r="F28" s="2"/>
      <x:c r="G28" s="2"/>
      <x:c r="H28" s="2"/>
      <x:c r="I28" s="2"/>
      <x:c r="J28" s="2"/>
      <x:c r="K28" s="2"/>
    </x:row>
    <x:row r="29" ht="96" customHeight="1">
      <x:c r="A29" s="6" t="str">
        <x:v>HW-GAP-R05</x:v>
      </x:c>
      <x:c r="B29" s="6" t="str">
        <x:v>Z anti-drop support/brake provision</x:v>
      </x:c>
      <x:c r="C29" s="6" t="str"/>
      <x:c r="D29" s="6" t="str">
        <x:v>Exact Z anti-drop/brake not selected; cannot claim a random $70 brake fits the unknown Z shaft/interface.</x:v>
      </x:c>
      <x:c r="E29" s="6" t="str"/>
      <x:c r="F29" s="2"/>
      <x:c r="G29" s="2"/>
      <x:c r="H29" s="2"/>
      <x:c r="I29" s="2"/>
      <x:c r="J29" s="2"/>
      <x:c r="K29" s="2"/>
    </x:row>
    <x:row r="30" ht="96" customHeight="1">
      <x:c r="A30" s="6" t="str">
        <x:v>HW-GAP-P01</x:v>
      </x:c>
      <x:c r="B30" s="6" t="str">
        <x:v>Torch floating touch-off / breakaway mount</x:v>
      </x:c>
      <x:c r="C30" s="6" t="str"/>
      <x:c r="D30" s="6" t="str">
        <x:v>Owned torch dimensions/model unresolved. Owner-machined plates $0 labor, but spring, switch, magnets/retention hardware must follow actual breakaway design.</x:v>
      </x:c>
      <x:c r="E30" s="6" t="str"/>
      <x:c r="F30" s="2"/>
      <x:c r="G30" s="2"/>
      <x:c r="H30" s="2"/>
      <x:c r="I30" s="2"/>
      <x:c r="J30" s="2"/>
      <x:c r="K30" s="2"/>
    </x:row>
    <x:row r="31" ht="96" customHeight="1">
      <x:c r="A31" s="6" t="str">
        <x:v>HW-GAP-P02</x:v>
      </x:c>
      <x:c r="B31" s="6" t="str">
        <x:v>Isolated torch-start / arc interface and cable</x:v>
      </x:c>
      <x:c r="C31" s="6" t="str"/>
      <x:c r="D31" s="6" t="str">
        <x:v>Do not duplicate controller agent's torch-start/THC components. Cutter interface and HF start behavior unresolved; no substitute universal relay declared safe.</x:v>
      </x:c>
      <x:c r="E31" s="6" t="str"/>
      <x:c r="F31" s="2"/>
      <x:c r="G31" s="2"/>
      <x:c r="H31" s="2"/>
      <x:c r="I31" s="2"/>
      <x:c r="J31" s="2"/>
      <x:c r="K31" s="2"/>
    </x:row>
    <x:row r="32" ht="96" customHeight="1">
      <x:c r="A32" s="6" t="str">
        <x:v>HW-GAP-P03</x:v>
      </x:c>
      <x:c r="B32" s="6" t="str">
        <x:v>Torch lead support, shield and work-return lug</x:v>
      </x:c>
      <x:c r="C32" s="6" t="str"/>
      <x:c r="D32" s="6" t="str">
        <x:v>Dedicated work return, cable strain relief and shield remain; do not double count cable supports in controls drag-chain purchase.</x:v>
      </x:c>
      <x:c r="E32" s="6" t="str"/>
      <x:c r="F32" s="2"/>
      <x:c r="G32" s="2"/>
      <x:c r="H32" s="2"/>
      <x:c r="I32" s="2"/>
      <x:c r="J32" s="2"/>
      <x:c r="K32" s="2"/>
    </x:row>
    <x:row r="33" ht="96" customHeight="1">
      <x:c r="A33" s="6" t="str">
        <x:v>HW-GAP-F01</x:v>
      </x:c>
      <x:c r="B33" s="6" t="str">
        <x:v>DIY welding, cutting and assembly consumables</x:v>
      </x:c>
      <x:c r="C33" s="6" t="str"/>
      <x:c r="D33" s="6" t="str">
        <x:v>4 lb flux wire $49.98 plus 20 cutoff wheels $17.98 = $67.96 goods. Main pan/reservoir are 0.120 inch carbon steel. Grinding media, any required joining/abrasives for small stainless accessories, drill/tap wear, lubricants and freight remain; no automatic stainless-pan filler charge.</x:v>
      </x:c>
      <x:c r="E33" s="6" t="str"/>
      <x:c r="F33" s="2"/>
      <x:c r="G33" s="2"/>
      <x:c r="H33" s="2"/>
      <x:c r="I33" s="2"/>
      <x:c r="J33" s="2"/>
      <x:c r="K33" s="2"/>
    </x:row>
    <x:row r="34" ht="96" customHeight="1">
      <x:c r="A34" s="6" t="str">
        <x:v>HW-GAP-S11</x:v>
      </x:c>
      <x:c r="B34" s="6" t="str">
        <x:v>Dry sand, 50-pound bags</x:v>
      </x:c>
      <x:c r="C34" s="6" t="str"/>
      <x:c r="D34" s="6" t="str">
        <x:v>Three 50 lb bags remain allowance. Prefer dry kiln-dried sand; cheap washed play/all-purpose sand is not guaranteed dry. 50 lb Quikrete196152 source confirms kiln dried but local 30510 price missing. Do not count all purchased tube lengths as filled: moving beams must remain empty.</x:v>
      </x:c>
      <x:c r="E34" s="6" t="str"/>
      <x:c r="F34" s="2"/>
      <x:c r="G34" s="2"/>
      <x:c r="H34" s="2"/>
      <x:c r="I34" s="2"/>
      <x:c r="J34" s="2"/>
      <x:c r="K34" s="2"/>
    </x:row>
    <x:row r="35" ht="96" customHeight="1">
      <x:c r="A35" s="6" t="str">
        <x:v>HW-GAP-S12</x:v>
      </x:c>
      <x:c r="B35" s="6" t="str">
        <x:v>Primer, graphite finish and finishing consumables</x:v>
      </x:c>
      <x:c r="C35" s="6" t="str"/>
      <x:c r="D35" s="6" t="str">
        <x:v>Primer one quart $17.48 plus two finish quarts $34.96 = $52.44 goods, plus degreaser/rollers/masking. Owner finishing labor $0. Coverage and delivery are not verified.</x:v>
      </x:c>
      <x:c r="E35" s="6" t="str"/>
      <x:c r="F35" s="2"/>
      <x:c r="G35" s="2"/>
      <x:c r="H35" s="2"/>
      <x:c r="I35" s="2"/>
      <x:c r="J35" s="2"/>
      <x:c r="K35" s="2"/>
    </x:row>
    <x:row r="36" ht="96" customHeight="1">
      <x:c r="A36" s="6" t="str">
        <x:v>CA-13</x:v>
      </x:c>
      <x:c r="B36" s="6" t="str">
        <x:v>Twelve field-input isolation channels and normally-off PG2 output interface</x:v>
      </x:c>
      <x:c r="C36" s="6" t="str">
        <x:v>1</x:v>
      </x:c>
      <x:c r="D36" s="6" t="str">
        <x:v>Twelve mapped inputs: four homes; Arc OK/UP/DOWN; E-stop/feed-hold/cycle-start; probe; permissive. Do not treat 5 V header power as 5 V-tolerant GPIO. Select exact 24 V field-current / 3.3 V output circuits, input polarity, isolation spacing and surge protection. K_READY wetting load must be supported; do not connect an AgNi relay contact directly to an unverified microamp GPIO. SparkFun BOB-09118 ($5.95, two channels) was researched but not adopted as a native 24 V field-input board.</x:v>
      </x:c>
      <x:c r="E36" s="6" t="str">
        <x:v>https://github.com/bigtreetech/BIGTREETECH-Kraken</x:v>
      </x:c>
      <x:c r="F36" s="2"/>
      <x:c r="G36" s="2"/>
      <x:c r="H36" s="2"/>
      <x:c r="I36" s="2"/>
      <x:c r="J36" s="2"/>
      <x:c r="K36" s="2"/>
    </x:row>
    <x:row r="37" ht="96" customHeight="1">
      <x:c r="A37" s="6" t="str">
        <x:v>CA-14</x:v>
      </x:c>
      <x:c r="B37" s="6" t="str">
        <x:v>Main disconnect, independent stop circuit, contactors, branch protection and EMI filter</x:v>
      </x:c>
      <x:c r="C37" s="6" t="str">
        <x:v>1</x:v>
      </x:c>
      <x:c r="D37" s="6" t="str">
        <x:v>Keep all required power interruption and tool-permission functions independent of firmware. Exact supply topology, input branch current, VFD inrush, cutter branch and restart/monitoring circuit are missing. Do not infer a contactor's electronic-drive input suitability from its AC-3 motor rating. Separate water SSRs and water fuse branches below are excluded from this row.</x:v>
      </x:c>
      <x:c r="E37" s="6" t="str">
        <x:v>https://cdn.automationdirect.com/static/catalog/images/product-pdf/MS-Motor-Controls.pdf</x:v>
      </x:c>
      <x:c r="F37" s="2"/>
      <x:c r="G37" s="2"/>
      <x:c r="H37" s="2"/>
      <x:c r="I37" s="2"/>
      <x:c r="J37" s="2"/>
      <x:c r="K37" s="2"/>
    </x:row>
    <x:row r="38" ht="96" customHeight="1">
      <x:c r="A38" s="6" t="str">
        <x:v>CA-15</x:v>
      </x:c>
      <x:c r="B38" s="6" t="str">
        <x:v>Continuous-flex shielded motor and field-signal cable; shield clamps and protective bonding</x:v>
      </x:c>
      <x:c r="C38" s="6" t="str">
        <x:v>1</x:v>
      </x:c>
      <x:c r="D38" s="6" t="str">
        <x:v>Existing 25–30 m motor +25–30 m signal figures are allowances. All four bipolar motor leads require functional conductors; PE must remain dedicated. Final chain routes and motor current are not established; exact gauge, conductors, lengths and connectors remain open. Do not adopt LUTZE A6021604-1 as four motor leads: its four conductors include green/yellow PE. Supplied spindle kit VFD cable is not charged again.</x:v>
      </x:c>
      <x:c r="E38" s="6"/>
      <x:c r="F38" s="2"/>
      <x:c r="G38" s="2"/>
      <x:c r="H38" s="2"/>
      <x:c r="I38" s="2"/>
      <x:c r="J38" s="2"/>
      <x:c r="K38" s="2"/>
    </x:row>
    <x:row r="39" ht="96" customHeight="1">
      <x:c r="A39" s="6" t="str">
        <x:v>CA-16</x:v>
      </x:c>
      <x:c r="B39" s="6" t="str">
        <x:v>Shared terminal blocks, end stops/covers, glands, ferrules, wire duct, labels and panel hookup wire</x:v>
      </x:c>
      <x:c r="C39" s="6" t="str">
        <x:v>1</x:v>
      </x:c>
      <x:c r="D39" s="6" t="str">
        <x:v>One panel-wide termination schedule must contain the water XW terminals; water branch wiring must not buy them a second time. Quantities require completed panel layout and actual cable outside diameters. CA-09 DIN rail and dedicated fuse/diode rows are excluded here.</x:v>
      </x:c>
      <x:c r="E39" s="6"/>
      <x:c r="F39" s="2"/>
      <x:c r="G39" s="2"/>
      <x:c r="H39" s="2"/>
      <x:c r="I39" s="2"/>
      <x:c r="J39" s="2"/>
      <x:c r="K39" s="2"/>
    </x:row>
    <x:row r="40" ht="96" customHeight="1">
      <x:c r="A40" s="6" t="str">
        <x:v>CA-17</x:v>
      </x:c>
      <x:c r="B40" s="6" t="str">
        <x:v>Cabinet filtered ventilation and segregated VFD housing</x:v>
      </x:c>
      <x:c r="C40" s="6" t="str">
        <x:v>1</x:v>
      </x:c>
      <x:c r="D40" s="6" t="str">
        <x:v>The selected enclosure is a fit envelope, not a verified thermal design. Need VFD losses, permitted orientation, airflow paths and actual usable backplate space before fan/housing selection. Do not replace filtered ventilation with an unprotected PC fan exposed to plasma debris.</x:v>
      </x:c>
      <x:c r="E40" s="6"/>
      <x:c r="F40" s="2"/>
      <x:c r="G40" s="2"/>
      <x:c r="H40" s="2"/>
      <x:c r="I40" s="2"/>
      <x:c r="J40" s="2"/>
      <x:c r="K40" s="2"/>
    </x:row>
    <x:row r="41" ht="96" customHeight="1">
      <x:c r="A41" s="6" t="str">
        <x:v>CA-18</x:v>
      </x:c>
      <x:c r="B41" s="6" t="str">
        <x:v>Host microSD, Kraken firmware microSD and CB1 heatsink/fan</x:v>
      </x:c>
      <x:c r="C41" s="6" t="str">
        <x:v>1</x:v>
      </x:c>
      <x:c r="D41" s="6" t="str">
        <x:v>Two cards are distinct when CB1 remains installed: boot media and removable controller update media. No zero-cost ownership assumption. Candidate Adafruit2820 was rejected because no longer stocked. Use CB1-specific cooling; confirm any host power supply omitted from E19/E20.</x:v>
      </x:c>
      <x:c r="E41" s="6" t="str">
        <x:v>https://github.com/bigtreetech/CB1</x:v>
      </x:c>
      <x:c r="F41" s="2"/>
      <x:c r="G41" s="2"/>
      <x:c r="H41" s="2"/>
      <x:c r="I41" s="2"/>
      <x:c r="J41" s="2"/>
      <x:c r="K41" s="2"/>
    </x:row>
    <x:row r="42" ht="96" customHeight="1">
      <x:c r="A42" s="6" t="str">
        <x:v>CA-38</x:v>
      </x:c>
      <x:c r="B42" s="6" t="str">
        <x:v>EPDM gasket, vent mesh, pipe/fitting blanks, seals and float mounting consumables</x:v>
      </x:c>
      <x:c r="C42" s="6" t="str">
        <x:v>1</x:v>
      </x:c>
      <x:c r="D42" s="6" t="str">
        <x:v>Keep gasket/mesh/pipe stock distinct from hose adapters, sheet blanks and main fastener purchases. Trace actual CAD tube/pipe stock and existing fastener coverage before adding costs.</x:v>
      </x:c>
      <x:c r="E42" s="6"/>
      <x:c r="F42" s="2"/>
      <x:c r="G42" s="2"/>
      <x:c r="H42" s="2"/>
      <x:c r="I42" s="2"/>
      <x:c r="J42" s="2"/>
      <x:c r="K42" s="2"/>
    </x:row>
    <x:row r="43" ht="96" customHeight="1">
      <x:c r="A43" s="6" t="str">
        <x:v>CA-39</x:v>
      </x:c>
      <x:c r="B43" s="6" t="str">
        <x:v>Control legends and any specified FILL/RESET guards</x:v>
      </x:c>
      <x:c r="C43" s="6" t="str">
        <x:v>1</x:v>
      </x:c>
      <x:c r="D43" s="6" t="str">
        <x:v>Separate from the priced GCX1131 E-stop operator. Do not obstruct emergency access with a hinged guard. Choose actual label count and dimensions from final control panel; FILL guard geometry remains unresolved.</x:v>
      </x:c>
      <x:c r="E43" s="6"/>
      <x:c r="F43" s="2"/>
      <x:c r="G43" s="2"/>
      <x:c r="H43" s="2"/>
      <x:c r="I43" s="2"/>
      <x:c r="J43" s="2"/>
      <x:c r="K43" s="2"/>
    </x:row>
    <x:row r="44" ht="96" customHeight="1">
      <x:c r="A44" s="6" t="str">
        <x:v>E08</x:v>
      </x:c>
      <x:c r="B44" s="6" t="str">
        <x:v>External UP/DOWN/ARC-OK torch-height controller</x:v>
      </x:c>
      <x:c r="C44" s="6" t="str"/>
      <x:c r="D44" s="6" t="str">
        <x:v>Selected THC offer is conditional and EUR-denominated; actual cutter starting circuit, isolated sensing, currency conversion and delivery are unresolved.</x:v>
      </x:c>
      <x:c r="E44" s="6" t="str"/>
      <x:c r="F44" s="2"/>
      <x:c r="G44" s="2"/>
      <x:c r="H44" s="2"/>
      <x:c r="I44" s="2"/>
      <x:c r="J44" s="2"/>
      <x:c r="K44" s="2"/>
    </x:row>
    <x:row r="45" ht="96" customHeight="1">
      <x:c r="A45" s="6" t="str">
        <x:v>E11</x:v>
      </x:c>
      <x:c r="B45" s="6" t="str">
        <x:v>Bed, guard and head permissive mechanisms and switches</x:v>
      </x:c>
      <x:c r="C45" s="6" t="str"/>
      <x:c r="D45" s="6" t="str">
        <x:v>Exact bed/guard/head confirming mechanisms and switch actuation remain to be selected; price cannot be completed from a generic switch allowance.</x:v>
      </x:c>
      <x:c r="E45" s="6" t="str"/>
      <x:c r="F45" s="2"/>
      <x:c r="G45" s="2"/>
      <x:c r="H45" s="2"/>
      <x:c r="I45" s="2"/>
      <x:c r="J45" s="2"/>
      <x:c r="K45" s="2"/>
    </x:row>
    <x:row r="46" ht="96" customHeight="1">
      <x:c r="A46" s="6" t="str">
        <x:v>E22</x:v>
      </x:c>
      <x:c r="B46" s="6" t="str">
        <x:v>Isolated VFD speed and run interface</x:v>
      </x:c>
      <x:c r="C46" s="6" t="str"/>
      <x:c r="D46" s="6" t="str">
        <x:v>Isolated VFD control candidate requires a complete fail-off interface and 3.3V/5V compatibility check; candidate prices are separate.</x:v>
      </x:c>
      <x:c r="E46" s="6" t="str"/>
      <x:c r="F46" s="2"/>
      <x:c r="G46" s="2"/>
      <x:c r="H46" s="2"/>
      <x:c r="I46" s="2"/>
      <x:c r="J46" s="2"/>
      <x:c r="K46" s="2"/>
    </x:row>
    <x:row r="47" ht="96" customHeight="1">
      <x:c r="A47" s="6" t="str">
        <x:v>MET-DATUM</x:v>
      </x:c>
      <x:c r="B47" s="6" t="str">
        <x:v>MET-DATUM</x:v>
      </x:c>
      <x:c r="C47" s="6" t="str"/>
      <x:c r="D47" s="6" t="str">
        <x:v>Rail datum raw-stock cleanup allowance needs confirmation; the nominal 5/16in offer may need thicker stock to produce a flat finished datum.</x:v>
      </x:c>
      <x:c r="E47" s="6" t="str"/>
      <x:c r="F47" s="2"/>
      <x:c r="G47" s="2"/>
      <x:c r="H47" s="2"/>
      <x:c r="I47" s="2"/>
      <x:c r="J47" s="2"/>
      <x:c r="K47" s="2"/>
    </x:row>
    <x:row r="48">
      <x:c r="A48" s="2"/>
      <x:c r="B48" s="2"/>
      <x:c r="C48" s="2"/>
      <x:c r="D48" s="2"/>
      <x:c r="E48" s="2"/>
      <x:c r="F48" s="2"/>
      <x:c r="G48" s="2"/>
      <x:c r="H48" s="2"/>
      <x:c r="I48" s="2"/>
      <x:c r="J48" s="2"/>
      <x:c r="K48" s="2"/>
    </x:row>
    <x:row r="49">
      <x:c r="A49" s="2"/>
      <x:c r="B49" s="2"/>
      <x:c r="C49" s="2"/>
      <x:c r="D49" s="2"/>
      <x:c r="E49" s="2"/>
      <x:c r="F49" s="2"/>
      <x:c r="G49" s="2"/>
      <x:c r="H49" s="2"/>
      <x:c r="I49" s="2"/>
      <x:c r="J49" s="2"/>
      <x:c r="K49" s="2"/>
    </x:row>
    <x:row r="50">
      <x:c r="A50" s="2"/>
      <x:c r="B50" s="2"/>
      <x:c r="C50" s="2"/>
      <x:c r="D50" s="2"/>
      <x:c r="E50" s="2"/>
      <x:c r="F50" s="2"/>
      <x:c r="G50" s="2"/>
      <x:c r="H50" s="2"/>
      <x:c r="I50" s="2"/>
      <x:c r="J50" s="2"/>
      <x:c r="K50" s="2"/>
    </x:row>
    <x:row r="51">
      <x:c r="A51" s="2"/>
      <x:c r="B51" s="2"/>
      <x:c r="C51" s="2"/>
      <x:c r="D51" s="2"/>
      <x:c r="E51" s="2"/>
      <x:c r="F51" s="2"/>
      <x:c r="G51" s="2"/>
      <x:c r="H51" s="2"/>
      <x:c r="I51" s="2"/>
      <x:c r="J51" s="2"/>
      <x:c r="K51" s="2"/>
    </x:row>
    <x:row r="52">
      <x:c r="A52" s="2"/>
      <x:c r="B52" s="2"/>
      <x:c r="C52" s="2"/>
      <x:c r="D52" s="2"/>
      <x:c r="E52" s="2"/>
      <x:c r="F52" s="2"/>
      <x:c r="G52" s="2"/>
      <x:c r="H52" s="2"/>
      <x:c r="I52" s="2"/>
      <x:c r="J52" s="2"/>
      <x:c r="K52" s="2"/>
    </x:row>
    <x:row r="53">
      <x:c r="A53" s="2"/>
      <x:c r="B53" s="2"/>
      <x:c r="C53" s="2"/>
      <x:c r="D53" s="2"/>
      <x:c r="E53" s="2"/>
      <x:c r="F53" s="2"/>
      <x:c r="G53" s="2"/>
      <x:c r="H53" s="2"/>
      <x:c r="I53" s="2"/>
      <x:c r="J53" s="2"/>
      <x:c r="K53" s="2"/>
    </x:row>
    <x:row r="54">
      <x:c r="A54" s="2"/>
      <x:c r="B54" s="2"/>
      <x:c r="C54" s="2"/>
      <x:c r="D54" s="2"/>
      <x:c r="E54" s="2"/>
      <x:c r="F54" s="2"/>
      <x:c r="G54" s="2"/>
      <x:c r="H54" s="2"/>
      <x:c r="I54" s="2"/>
      <x:c r="J54" s="2"/>
      <x:c r="K54" s="2"/>
    </x:row>
    <x:row r="55">
      <x:c r="A55" s="2"/>
      <x:c r="B55" s="2"/>
      <x:c r="C55" s="2"/>
      <x:c r="D55" s="2"/>
      <x:c r="E55" s="2"/>
      <x:c r="F55" s="2"/>
      <x:c r="G55" s="2"/>
      <x:c r="H55" s="2"/>
      <x:c r="I55" s="2"/>
      <x:c r="J55" s="2"/>
      <x:c r="K55" s="2"/>
    </x:row>
    <x:row r="56">
      <x:c r="A56" s="2"/>
      <x:c r="B56" s="2"/>
      <x:c r="C56" s="2"/>
      <x:c r="D56" s="2"/>
      <x:c r="E56" s="2"/>
      <x:c r="F56" s="2"/>
      <x:c r="G56" s="2"/>
      <x:c r="H56" s="2"/>
      <x:c r="I56" s="2"/>
      <x:c r="J56" s="2"/>
      <x:c r="K56" s="2"/>
    </x:row>
    <x:row r="57">
      <x:c r="A57" s="2"/>
      <x:c r="B57" s="2"/>
      <x:c r="C57" s="2"/>
      <x:c r="D57" s="2"/>
      <x:c r="E57" s="2"/>
      <x:c r="F57" s="2"/>
      <x:c r="G57" s="2"/>
      <x:c r="H57" s="2"/>
      <x:c r="I57" s="2"/>
      <x:c r="J57" s="2"/>
      <x:c r="K57" s="2"/>
    </x:row>
    <x:row r="58">
      <x:c r="A58" s="2"/>
      <x:c r="B58" s="2"/>
      <x:c r="C58" s="2"/>
      <x:c r="D58" s="2"/>
      <x:c r="E58" s="2"/>
      <x:c r="F58" s="2"/>
      <x:c r="G58" s="2"/>
      <x:c r="H58" s="2"/>
      <x:c r="I58" s="2"/>
      <x:c r="J58" s="2"/>
      <x:c r="K58" s="2"/>
    </x:row>
    <x:row r="59">
      <x:c r="A59" s="2"/>
      <x:c r="B59" s="2"/>
      <x:c r="C59" s="2"/>
      <x:c r="D59" s="2"/>
      <x:c r="E59" s="2"/>
      <x:c r="F59" s="2"/>
      <x:c r="G59" s="2"/>
      <x:c r="H59" s="2"/>
      <x:c r="I59" s="2"/>
      <x:c r="J59" s="2"/>
      <x:c r="K59" s="2"/>
    </x:row>
    <x:row r="60">
      <x:c r="A60" s="2"/>
      <x:c r="B60" s="2"/>
      <x:c r="C60" s="2"/>
      <x:c r="D60" s="2"/>
      <x:c r="E60" s="2"/>
      <x:c r="F60" s="2"/>
      <x:c r="G60" s="2"/>
      <x:c r="H60" s="2"/>
      <x:c r="I60" s="2"/>
      <x:c r="J60" s="2"/>
      <x:c r="K60" s="2"/>
    </x:row>
    <x:row r="61">
      <x:c r="A61" s="2"/>
      <x:c r="B61" s="2"/>
      <x:c r="C61" s="2"/>
      <x:c r="D61" s="2"/>
      <x:c r="E61" s="2"/>
      <x:c r="F61" s="2"/>
      <x:c r="G61" s="2"/>
      <x:c r="H61" s="2"/>
      <x:c r="I61" s="2"/>
      <x:c r="J61" s="2"/>
      <x:c r="K61" s="2"/>
    </x:row>
    <x:row r="62">
      <x:c r="A62" s="2"/>
      <x:c r="B62" s="2"/>
      <x:c r="C62" s="2"/>
      <x:c r="D62" s="2"/>
      <x:c r="E62" s="2"/>
      <x:c r="F62" s="2"/>
      <x:c r="G62" s="2"/>
      <x:c r="H62" s="2"/>
      <x:c r="I62" s="2"/>
      <x:c r="J62" s="2"/>
      <x:c r="K62" s="2"/>
    </x:row>
    <x:row r="63">
      <x:c r="A63" s="2"/>
      <x:c r="B63" s="2"/>
      <x:c r="C63" s="2"/>
      <x:c r="D63" s="2"/>
      <x:c r="E63" s="2"/>
      <x:c r="F63" s="2"/>
      <x:c r="G63" s="2"/>
      <x:c r="H63" s="2"/>
      <x:c r="I63" s="2"/>
      <x:c r="J63" s="2"/>
      <x:c r="K63" s="2"/>
    </x:row>
    <x:row r="64">
      <x:c r="A64" s="2"/>
      <x:c r="B64" s="2"/>
      <x:c r="C64" s="2"/>
      <x:c r="D64" s="2"/>
      <x:c r="E64" s="2"/>
      <x:c r="F64" s="2"/>
      <x:c r="G64" s="2"/>
      <x:c r="H64" s="2"/>
      <x:c r="I64" s="2"/>
      <x:c r="J64" s="2"/>
      <x:c r="K64" s="2"/>
    </x:row>
    <x:row r="65">
      <x:c r="A65" s="2"/>
      <x:c r="B65" s="2"/>
      <x:c r="C65" s="2"/>
      <x:c r="D65" s="2"/>
      <x:c r="E65" s="2"/>
      <x:c r="F65" s="2"/>
      <x:c r="G65" s="2"/>
      <x:c r="H65" s="2"/>
      <x:c r="I65" s="2"/>
      <x:c r="J65" s="2"/>
      <x:c r="K65" s="2"/>
    </x:row>
    <x:row r="66">
      <x:c r="A66" s="2"/>
      <x:c r="B66" s="2"/>
      <x:c r="C66" s="2"/>
      <x:c r="D66" s="2"/>
      <x:c r="E66" s="2"/>
      <x:c r="F66" s="2"/>
      <x:c r="G66" s="2"/>
      <x:c r="H66" s="2"/>
      <x:c r="I66" s="2"/>
      <x:c r="J66" s="2"/>
      <x:c r="K66" s="2"/>
    </x:row>
    <x:row r="67">
      <x:c r="A67" s="2"/>
      <x:c r="B67" s="2"/>
      <x:c r="C67" s="2"/>
      <x:c r="D67" s="2"/>
      <x:c r="E67" s="2"/>
      <x:c r="F67" s="2"/>
      <x:c r="G67" s="2"/>
      <x:c r="H67" s="2"/>
      <x:c r="I67" s="2"/>
      <x:c r="J67" s="2"/>
      <x:c r="K67" s="2"/>
    </x:row>
    <x:row r="68">
      <x:c r="A68" s="2"/>
      <x:c r="B68" s="2"/>
      <x:c r="C68" s="2"/>
      <x:c r="D68" s="2"/>
      <x:c r="E68" s="2"/>
      <x:c r="F68" s="2"/>
      <x:c r="G68" s="2"/>
      <x:c r="H68" s="2"/>
      <x:c r="I68" s="2"/>
      <x:c r="J68" s="2"/>
      <x:c r="K68" s="2"/>
    </x:row>
    <x:row r="69">
      <x:c r="A69" s="2"/>
      <x:c r="B69" s="2"/>
      <x:c r="C69" s="2"/>
      <x:c r="D69" s="2"/>
      <x:c r="E69" s="2"/>
      <x:c r="F69" s="2"/>
      <x:c r="G69" s="2"/>
      <x:c r="H69" s="2"/>
      <x:c r="I69" s="2"/>
      <x:c r="J69" s="2"/>
      <x:c r="K69" s="2"/>
    </x:row>
    <x:row r="70">
      <x:c r="A70" s="2"/>
      <x:c r="B70" s="2"/>
      <x:c r="C70" s="2"/>
      <x:c r="D70" s="2"/>
      <x:c r="E70" s="2"/>
      <x:c r="F70" s="2"/>
      <x:c r="G70" s="2"/>
      <x:c r="H70" s="2"/>
      <x:c r="I70" s="2"/>
      <x:c r="J70" s="2"/>
      <x:c r="K70" s="2"/>
    </x:row>
    <x:row r="71">
      <x:c r="A71" s="2"/>
      <x:c r="B71" s="2"/>
      <x:c r="C71" s="2"/>
      <x:c r="D71" s="2"/>
      <x:c r="E71" s="2"/>
      <x:c r="F71" s="2"/>
      <x:c r="G71" s="2"/>
      <x:c r="H71" s="2"/>
      <x:c r="I71" s="2"/>
      <x:c r="J71" s="2"/>
      <x:c r="K71" s="2"/>
    </x:row>
    <x:row r="72">
      <x:c r="A72" s="2"/>
      <x:c r="B72" s="2"/>
      <x:c r="C72" s="2"/>
      <x:c r="D72" s="2"/>
      <x:c r="E72" s="2"/>
      <x:c r="F72" s="2"/>
      <x:c r="G72" s="2"/>
      <x:c r="H72" s="2"/>
      <x:c r="I72" s="2"/>
      <x:c r="J72" s="2"/>
      <x:c r="K72" s="2"/>
    </x:row>
    <x:row r="73">
      <x:c r="A73" s="2"/>
      <x:c r="B73" s="2"/>
      <x:c r="C73" s="2"/>
      <x:c r="D73" s="2"/>
      <x:c r="E73" s="2"/>
      <x:c r="F73" s="2"/>
      <x:c r="G73" s="2"/>
      <x:c r="H73" s="2"/>
      <x:c r="I73" s="2"/>
      <x:c r="J73" s="2"/>
      <x:c r="K73" s="2"/>
    </x:row>
    <x:row r="74">
      <x:c r="A74" s="2"/>
      <x:c r="B74" s="2"/>
      <x:c r="C74" s="2"/>
      <x:c r="D74" s="2"/>
      <x:c r="E74" s="2"/>
      <x:c r="F74" s="2"/>
      <x:c r="G74" s="2"/>
      <x:c r="H74" s="2"/>
      <x:c r="I74" s="2"/>
      <x:c r="J74" s="2"/>
      <x:c r="K74" s="2"/>
    </x:row>
    <x:row r="75">
      <x:c r="A75" s="2"/>
      <x:c r="B75" s="2"/>
      <x:c r="C75" s="2"/>
      <x:c r="D75" s="2"/>
      <x:c r="E75" s="2"/>
      <x:c r="F75" s="2"/>
      <x:c r="G75" s="2"/>
      <x:c r="H75" s="2"/>
      <x:c r="I75" s="2"/>
      <x:c r="J75" s="2"/>
      <x:c r="K75" s="2"/>
    </x:row>
    <x:row r="76">
      <x:c r="A76" s="2"/>
      <x:c r="B76" s="2"/>
      <x:c r="C76" s="2"/>
      <x:c r="D76" s="2"/>
      <x:c r="E76" s="2"/>
      <x:c r="F76" s="2"/>
      <x:c r="G76" s="2"/>
      <x:c r="H76" s="2"/>
      <x:c r="I76" s="2"/>
      <x:c r="J76" s="2"/>
      <x:c r="K76" s="2"/>
    </x:row>
    <x:row r="77">
      <x:c r="A77" s="2"/>
      <x:c r="B77" s="2"/>
      <x:c r="C77" s="2"/>
      <x:c r="D77" s="2"/>
      <x:c r="E77" s="2"/>
      <x:c r="F77" s="2"/>
      <x:c r="G77" s="2"/>
      <x:c r="H77" s="2"/>
      <x:c r="I77" s="2"/>
      <x:c r="J77" s="2"/>
      <x:c r="K77" s="2"/>
    </x:row>
    <x:row r="78">
      <x:c r="A78" s="2"/>
      <x:c r="B78" s="2"/>
      <x:c r="C78" s="2"/>
      <x:c r="D78" s="2"/>
      <x:c r="E78" s="2"/>
      <x:c r="F78" s="2"/>
      <x:c r="G78" s="2"/>
      <x:c r="H78" s="2"/>
      <x:c r="I78" s="2"/>
      <x:c r="J78" s="2"/>
      <x:c r="K78" s="2"/>
    </x:row>
    <x:row r="79">
      <x:c r="A79" s="2"/>
      <x:c r="B79" s="2"/>
      <x:c r="C79" s="2"/>
      <x:c r="D79" s="2"/>
      <x:c r="E79" s="2"/>
      <x:c r="F79" s="2"/>
      <x:c r="G79" s="2"/>
      <x:c r="H79" s="2"/>
      <x:c r="I79" s="2"/>
      <x:c r="J79" s="2"/>
      <x:c r="K79" s="2"/>
    </x:row>
    <x:row r="80">
      <x:c r="A80" s="2"/>
      <x:c r="B80" s="2"/>
      <x:c r="C80" s="2"/>
      <x:c r="D80" s="2"/>
      <x:c r="E80" s="2"/>
      <x:c r="F80" s="2"/>
      <x:c r="G80" s="2"/>
      <x:c r="H80" s="2"/>
      <x:c r="I80" s="2"/>
      <x:c r="J80" s="2"/>
      <x:c r="K80" s="2"/>
    </x:row>
    <x:row r="81">
      <x:c r="A81" s="2"/>
      <x:c r="B81" s="2"/>
      <x:c r="C81" s="2"/>
      <x:c r="D81" s="2"/>
      <x:c r="E81" s="2"/>
      <x:c r="F81" s="2"/>
      <x:c r="G81" s="2"/>
      <x:c r="H81" s="2"/>
      <x:c r="I81" s="2"/>
      <x:c r="J81" s="2"/>
      <x:c r="K81" s="2"/>
    </x:row>
    <x:row r="82">
      <x:c r="A82" s="2"/>
      <x:c r="B82" s="2"/>
      <x:c r="C82" s="2"/>
      <x:c r="D82" s="2"/>
      <x:c r="E82" s="2"/>
      <x:c r="F82" s="2"/>
      <x:c r="G82" s="2"/>
      <x:c r="H82" s="2"/>
      <x:c r="I82" s="2"/>
      <x:c r="J82" s="2"/>
      <x:c r="K82" s="2"/>
    </x:row>
    <x:row r="83">
      <x:c r="A83" s="2"/>
      <x:c r="B83" s="2"/>
      <x:c r="C83" s="2"/>
      <x:c r="D83" s="2"/>
      <x:c r="E83" s="2"/>
      <x:c r="F83" s="2"/>
      <x:c r="G83" s="2"/>
      <x:c r="H83" s="2"/>
      <x:c r="I83" s="2"/>
      <x:c r="J83" s="2"/>
      <x:c r="K83" s="2"/>
    </x:row>
    <x:row r="84">
      <x:c r="A84" s="2"/>
      <x:c r="B84" s="2"/>
      <x:c r="C84" s="2"/>
      <x:c r="D84" s="2"/>
      <x:c r="E84" s="2"/>
      <x:c r="F84" s="2"/>
      <x:c r="G84" s="2"/>
      <x:c r="H84" s="2"/>
      <x:c r="I84" s="2"/>
      <x:c r="J84" s="2"/>
      <x:c r="K84" s="2"/>
    </x:row>
    <x:row r="85">
      <x:c r="A85" s="2"/>
      <x:c r="B85" s="2"/>
      <x:c r="C85" s="2"/>
      <x:c r="D85" s="2"/>
      <x:c r="E85" s="2"/>
      <x:c r="F85" s="2"/>
      <x:c r="G85" s="2"/>
      <x:c r="H85" s="2"/>
      <x:c r="I85" s="2"/>
      <x:c r="J85" s="2"/>
      <x:c r="K85" s="2"/>
    </x:row>
    <x:row r="86">
      <x:c r="A86" s="2"/>
      <x:c r="B86" s="2"/>
      <x:c r="C86" s="2"/>
      <x:c r="D86" s="2"/>
      <x:c r="E86" s="2"/>
      <x:c r="F86" s="2"/>
      <x:c r="G86" s="2"/>
      <x:c r="H86" s="2"/>
      <x:c r="I86" s="2"/>
      <x:c r="J86" s="2"/>
      <x:c r="K86" s="2"/>
    </x:row>
    <x:row r="87">
      <x:c r="A87" s="2"/>
      <x:c r="B87" s="2"/>
      <x:c r="C87" s="2"/>
      <x:c r="D87" s="2"/>
      <x:c r="E87" s="2"/>
      <x:c r="F87" s="2"/>
      <x:c r="G87" s="2"/>
      <x:c r="H87" s="2"/>
      <x:c r="I87" s="2"/>
      <x:c r="J87" s="2"/>
      <x:c r="K87" s="2"/>
    </x:row>
    <x:row r="88">
      <x:c r="A88" s="2"/>
      <x:c r="B88" s="2"/>
      <x:c r="C88" s="2"/>
      <x:c r="D88" s="2"/>
      <x:c r="E88" s="2"/>
      <x:c r="F88" s="2"/>
      <x:c r="G88" s="2"/>
      <x:c r="H88" s="2"/>
      <x:c r="I88" s="2"/>
      <x:c r="J88" s="2"/>
      <x:c r="K88" s="2"/>
    </x:row>
    <x:row r="89">
      <x:c r="A89" s="2"/>
      <x:c r="B89" s="2"/>
      <x:c r="C89" s="2"/>
      <x:c r="D89" s="2"/>
      <x:c r="E89" s="2"/>
      <x:c r="F89" s="2"/>
      <x:c r="G89" s="2"/>
      <x:c r="H89" s="2"/>
      <x:c r="I89" s="2"/>
      <x:c r="J89" s="2"/>
      <x:c r="K89" s="2"/>
    </x:row>
    <x:row r="90">
      <x:c r="A90" s="2"/>
      <x:c r="B90" s="2"/>
      <x:c r="C90" s="2"/>
      <x:c r="D90" s="2"/>
      <x:c r="E90" s="2"/>
      <x:c r="F90" s="2"/>
      <x:c r="G90" s="2"/>
      <x:c r="H90" s="2"/>
      <x:c r="I90" s="2"/>
      <x:c r="J90" s="2"/>
      <x:c r="K90" s="2"/>
    </x:row>
    <x:row r="91">
      <x:c r="A91" s="2"/>
      <x:c r="B91" s="2"/>
      <x:c r="C91" s="2"/>
      <x:c r="D91" s="2"/>
      <x:c r="E91" s="2"/>
      <x:c r="F91" s="2"/>
      <x:c r="G91" s="2"/>
      <x:c r="H91" s="2"/>
      <x:c r="I91" s="2"/>
      <x:c r="J91" s="2"/>
      <x:c r="K91" s="2"/>
    </x:row>
    <x:row r="92">
      <x:c r="A92" s="2"/>
      <x:c r="B92" s="2"/>
      <x:c r="C92" s="2"/>
      <x:c r="D92" s="2"/>
      <x:c r="E92" s="2"/>
      <x:c r="F92" s="2"/>
      <x:c r="G92" s="2"/>
      <x:c r="H92" s="2"/>
      <x:c r="I92" s="2"/>
      <x:c r="J92" s="2"/>
      <x:c r="K92" s="2"/>
    </x:row>
    <x:row r="93">
      <x:c r="A93" s="2"/>
      <x:c r="B93" s="2"/>
      <x:c r="C93" s="2"/>
      <x:c r="D93" s="2"/>
      <x:c r="E93" s="2"/>
      <x:c r="F93" s="2"/>
      <x:c r="G93" s="2"/>
      <x:c r="H93" s="2"/>
      <x:c r="I93" s="2"/>
      <x:c r="J93" s="2"/>
      <x:c r="K93" s="2"/>
    </x:row>
    <x:row r="94">
      <x:c r="A94" s="2"/>
      <x:c r="B94" s="2"/>
      <x:c r="C94" s="2"/>
      <x:c r="D94" s="2"/>
      <x:c r="E94" s="2"/>
      <x:c r="F94" s="2"/>
      <x:c r="G94" s="2"/>
      <x:c r="H94" s="2"/>
      <x:c r="I94" s="2"/>
      <x:c r="J94" s="2"/>
      <x:c r="K94" s="2"/>
    </x:row>
    <x:row r="95">
      <x:c r="A95" s="2"/>
      <x:c r="B95" s="2"/>
      <x:c r="C95" s="2"/>
      <x:c r="D95" s="2"/>
      <x:c r="E95" s="2"/>
      <x:c r="F95" s="2"/>
      <x:c r="G95" s="2"/>
      <x:c r="H95" s="2"/>
      <x:c r="I95" s="2"/>
      <x:c r="J95" s="2"/>
      <x:c r="K95" s="2"/>
    </x:row>
    <x:row r="96">
      <x:c r="A96" s="2"/>
      <x:c r="B96" s="2"/>
      <x:c r="C96" s="2"/>
      <x:c r="D96" s="2"/>
      <x:c r="E96" s="2"/>
      <x:c r="F96" s="2"/>
      <x:c r="G96" s="2"/>
      <x:c r="H96" s="2"/>
      <x:c r="I96" s="2"/>
      <x:c r="J96" s="2"/>
      <x:c r="K96" s="2"/>
    </x:row>
    <x:row r="97">
      <x:c r="A97" s="2"/>
      <x:c r="B97" s="2"/>
      <x:c r="C97" s="2"/>
      <x:c r="D97" s="2"/>
      <x:c r="E97" s="2"/>
      <x:c r="F97" s="2"/>
      <x:c r="G97" s="2"/>
      <x:c r="H97" s="2"/>
      <x:c r="I97" s="2"/>
      <x:c r="J97" s="2"/>
      <x:c r="K97" s="2"/>
    </x:row>
    <x:row r="98">
      <x:c r="A98" s="2"/>
      <x:c r="B98" s="2"/>
      <x:c r="C98" s="2"/>
      <x:c r="D98" s="2"/>
      <x:c r="E98" s="2"/>
      <x:c r="F98" s="2"/>
      <x:c r="G98" s="2"/>
      <x:c r="H98" s="2"/>
      <x:c r="I98" s="2"/>
      <x:c r="J98" s="2"/>
      <x:c r="K98" s="2"/>
    </x:row>
    <x:row r="99">
      <x:c r="A99" s="2"/>
      <x:c r="B99" s="2"/>
      <x:c r="C99" s="2"/>
      <x:c r="D99" s="2"/>
      <x:c r="E99" s="2"/>
      <x:c r="F99" s="2"/>
      <x:c r="G99" s="2"/>
      <x:c r="H99" s="2"/>
      <x:c r="I99" s="2"/>
      <x:c r="J99" s="2"/>
      <x:c r="K99" s="2"/>
    </x:row>
    <x:row r="100">
      <x:c r="A100" s="2"/>
      <x:c r="B100" s="2"/>
      <x:c r="C100" s="2"/>
      <x:c r="D100" s="2"/>
      <x:c r="E100" s="2"/>
      <x:c r="F100" s="2"/>
      <x:c r="G100" s="2"/>
      <x:c r="H100" s="2"/>
      <x:c r="I100" s="2"/>
      <x:c r="J100" s="2"/>
      <x:c r="K100" s="2"/>
    </x:row>
    <x:row r="101">
      <x:c r="A101" s="2"/>
      <x:c r="B101" s="2"/>
      <x:c r="C101" s="2"/>
      <x:c r="D101" s="2"/>
      <x:c r="E101" s="2"/>
      <x:c r="F101" s="2"/>
      <x:c r="G101" s="2"/>
      <x:c r="H101" s="2"/>
      <x:c r="I101" s="2"/>
      <x:c r="J101" s="2"/>
      <x:c r="K101" s="2"/>
    </x:row>
    <x:row r="102">
      <x:c r="A102" s="2"/>
      <x:c r="B102" s="2"/>
      <x:c r="C102" s="2"/>
      <x:c r="D102" s="2"/>
      <x:c r="E102" s="2"/>
      <x:c r="F102" s="2"/>
      <x:c r="G102" s="2"/>
      <x:c r="H102" s="2"/>
      <x:c r="I102" s="2"/>
      <x:c r="J102" s="2"/>
      <x:c r="K102" s="2"/>
    </x:row>
    <x:row r="103">
      <x:c r="A103" s="2"/>
      <x:c r="B103" s="2"/>
      <x:c r="C103" s="2"/>
      <x:c r="D103" s="2"/>
      <x:c r="E103" s="2"/>
      <x:c r="F103" s="2"/>
      <x:c r="G103" s="2"/>
      <x:c r="H103" s="2"/>
      <x:c r="I103" s="2"/>
      <x:c r="J103" s="2"/>
      <x:c r="K103" s="2"/>
    </x:row>
    <x:row r="104">
      <x:c r="A104" s="2"/>
      <x:c r="B104" s="2"/>
      <x:c r="C104" s="2"/>
      <x:c r="D104" s="2"/>
      <x:c r="E104" s="2"/>
      <x:c r="F104" s="2"/>
      <x:c r="G104" s="2"/>
      <x:c r="H104" s="2"/>
      <x:c r="I104" s="2"/>
      <x:c r="J104" s="2"/>
      <x:c r="K104" s="2"/>
    </x:row>
    <x:row r="105">
      <x:c r="A105" s="2"/>
      <x:c r="B105" s="2"/>
      <x:c r="C105" s="2"/>
      <x:c r="D105" s="2"/>
      <x:c r="E105" s="2"/>
      <x:c r="F105" s="2"/>
      <x:c r="G105" s="2"/>
      <x:c r="H105" s="2"/>
      <x:c r="I105" s="2"/>
      <x:c r="J105" s="2"/>
      <x:c r="K105" s="2"/>
    </x:row>
    <x:row r="106">
      <x:c r="A106" s="2"/>
      <x:c r="B106" s="2"/>
      <x:c r="C106" s="2"/>
      <x:c r="D106" s="2"/>
      <x:c r="E106" s="2"/>
      <x:c r="F106" s="2"/>
      <x:c r="G106" s="2"/>
      <x:c r="H106" s="2"/>
      <x:c r="I106" s="2"/>
      <x:c r="J106" s="2"/>
      <x:c r="K106" s="2"/>
    </x:row>
    <x:row r="107">
      <x:c r="A107" s="2"/>
      <x:c r="B107" s="2"/>
      <x:c r="C107" s="2"/>
      <x:c r="D107" s="2"/>
      <x:c r="E107" s="2"/>
      <x:c r="F107" s="2"/>
      <x:c r="G107" s="2"/>
      <x:c r="H107" s="2"/>
      <x:c r="I107" s="2"/>
      <x:c r="J107" s="2"/>
      <x:c r="K107" s="2"/>
    </x:row>
    <x:row r="108">
      <x:c r="A108" s="2"/>
      <x:c r="B108" s="2"/>
      <x:c r="C108" s="2"/>
      <x:c r="D108" s="2"/>
      <x:c r="E108" s="2"/>
      <x:c r="F108" s="2"/>
      <x:c r="G108" s="2"/>
      <x:c r="H108" s="2"/>
      <x:c r="I108" s="2"/>
      <x:c r="J108" s="2"/>
      <x:c r="K108" s="2"/>
    </x:row>
    <x:row r="109">
      <x:c r="A109" s="2"/>
      <x:c r="B109" s="2"/>
      <x:c r="C109" s="2"/>
      <x:c r="D109" s="2"/>
      <x:c r="E109" s="2"/>
      <x:c r="F109" s="2"/>
      <x:c r="G109" s="2"/>
      <x:c r="H109" s="2"/>
      <x:c r="I109" s="2"/>
      <x:c r="J109" s="2"/>
      <x:c r="K109" s="2"/>
    </x:row>
    <x:row r="110">
      <x:c r="A110" s="2"/>
      <x:c r="B110" s="2"/>
      <x:c r="C110" s="2"/>
      <x:c r="D110" s="2"/>
      <x:c r="E110" s="2"/>
      <x:c r="F110" s="2"/>
      <x:c r="G110" s="2"/>
      <x:c r="H110" s="2"/>
      <x:c r="I110" s="2"/>
      <x:c r="J110" s="2"/>
      <x:c r="K110" s="2"/>
    </x:row>
    <x:row r="111">
      <x:c r="A111" s="2"/>
      <x:c r="B111" s="2"/>
      <x:c r="C111" s="2"/>
      <x:c r="D111" s="2"/>
      <x:c r="E111" s="2"/>
      <x:c r="F111" s="2"/>
      <x:c r="G111" s="2"/>
      <x:c r="H111" s="2"/>
      <x:c r="I111" s="2"/>
      <x:c r="J111" s="2"/>
      <x:c r="K111" s="2"/>
    </x:row>
    <x:row r="112">
      <x:c r="A112" s="2"/>
      <x:c r="B112" s="2"/>
      <x:c r="C112" s="2"/>
      <x:c r="D112" s="2"/>
      <x:c r="E112" s="2"/>
      <x:c r="F112" s="2"/>
      <x:c r="G112" s="2"/>
      <x:c r="H112" s="2"/>
      <x:c r="I112" s="2"/>
      <x:c r="J112" s="2"/>
      <x:c r="K112" s="2"/>
    </x:row>
    <x:row r="113">
      <x:c r="A113" s="2"/>
      <x:c r="B113" s="2"/>
      <x:c r="C113" s="2"/>
      <x:c r="D113" s="2"/>
      <x:c r="E113" s="2"/>
      <x:c r="F113" s="2"/>
      <x:c r="G113" s="2"/>
      <x:c r="H113" s="2"/>
      <x:c r="I113" s="2"/>
      <x:c r="J113" s="2"/>
      <x:c r="K113" s="2"/>
    </x:row>
    <x:row r="114">
      <x:c r="A114" s="2"/>
      <x:c r="B114" s="2"/>
      <x:c r="C114" s="2"/>
      <x:c r="D114" s="2"/>
      <x:c r="E114" s="2"/>
      <x:c r="F114" s="2"/>
      <x:c r="G114" s="2"/>
      <x:c r="H114" s="2"/>
      <x:c r="I114" s="2"/>
      <x:c r="J114" s="2"/>
      <x:c r="K114" s="2"/>
    </x:row>
    <x:row r="115">
      <x:c r="A115" s="2"/>
      <x:c r="B115" s="2"/>
      <x:c r="C115" s="2"/>
      <x:c r="D115" s="2"/>
      <x:c r="E115" s="2"/>
      <x:c r="F115" s="2"/>
      <x:c r="G115" s="2"/>
      <x:c r="H115" s="2"/>
      <x:c r="I115" s="2"/>
      <x:c r="J115" s="2"/>
      <x:c r="K115" s="2"/>
    </x:row>
    <x:row r="116">
      <x:c r="A116" s="2"/>
      <x:c r="B116" s="2"/>
      <x:c r="C116" s="2"/>
      <x:c r="D116" s="2"/>
      <x:c r="E116" s="2"/>
      <x:c r="F116" s="2"/>
      <x:c r="G116" s="2"/>
      <x:c r="H116" s="2"/>
      <x:c r="I116" s="2"/>
      <x:c r="J116" s="2"/>
      <x:c r="K116" s="2"/>
    </x:row>
    <x:row r="117">
      <x:c r="A117" s="2"/>
      <x:c r="B117" s="2"/>
      <x:c r="C117" s="2"/>
      <x:c r="D117" s="2"/>
      <x:c r="E117" s="2"/>
      <x:c r="F117" s="2"/>
      <x:c r="G117" s="2"/>
      <x:c r="H117" s="2"/>
      <x:c r="I117" s="2"/>
      <x:c r="J117" s="2"/>
      <x:c r="K117" s="2"/>
    </x:row>
    <x:row r="118">
      <x:c r="A118" s="2"/>
      <x:c r="B118" s="2"/>
      <x:c r="C118" s="2"/>
      <x:c r="D118" s="2"/>
      <x:c r="E118" s="2"/>
      <x:c r="F118" s="2"/>
      <x:c r="G118" s="2"/>
      <x:c r="H118" s="2"/>
      <x:c r="I118" s="2"/>
      <x:c r="J118" s="2"/>
      <x:c r="K118" s="2"/>
    </x:row>
    <x:row r="119">
      <x:c r="A119" s="2"/>
      <x:c r="B119" s="2"/>
      <x:c r="C119" s="2"/>
      <x:c r="D119" s="2"/>
      <x:c r="E119" s="2"/>
      <x:c r="F119" s="2"/>
      <x:c r="G119" s="2"/>
      <x:c r="H119" s="2"/>
      <x:c r="I119" s="2"/>
      <x:c r="J119" s="2"/>
      <x:c r="K119" s="2"/>
    </x:row>
    <x:row r="120">
      <x:c r="A120" s="2"/>
      <x:c r="B120" s="2"/>
      <x:c r="C120" s="2"/>
      <x:c r="D120" s="2"/>
      <x:c r="E120" s="2"/>
      <x:c r="F120" s="2"/>
      <x:c r="G120" s="2"/>
      <x:c r="H120" s="2"/>
      <x:c r="I120" s="2"/>
      <x:c r="J120" s="2"/>
      <x:c r="K120" s="2"/>
    </x:row>
    <x:row r="121">
      <x:c r="A121" s="2"/>
      <x:c r="B121" s="2"/>
      <x:c r="C121" s="2"/>
      <x:c r="D121" s="2"/>
      <x:c r="E121" s="2"/>
      <x:c r="F121" s="2"/>
      <x:c r="G121" s="2"/>
      <x:c r="H121" s="2"/>
      <x:c r="I121" s="2"/>
      <x:c r="J121" s="2"/>
      <x:c r="K121" s="2"/>
    </x:row>
    <x:row r="122">
      <x:c r="A122" s="2"/>
      <x:c r="B122" s="2"/>
      <x:c r="C122" s="2"/>
      <x:c r="D122" s="2"/>
      <x:c r="E122" s="2"/>
      <x:c r="F122" s="2"/>
      <x:c r="G122" s="2"/>
      <x:c r="H122" s="2"/>
      <x:c r="I122" s="2"/>
      <x:c r="J122" s="2"/>
      <x:c r="K122" s="2"/>
    </x:row>
    <x:row r="123">
      <x:c r="A123" s="2"/>
      <x:c r="B123" s="2"/>
      <x:c r="C123" s="2"/>
      <x:c r="D123" s="2"/>
      <x:c r="E123" s="2"/>
      <x:c r="F123" s="2"/>
      <x:c r="G123" s="2"/>
      <x:c r="H123" s="2"/>
      <x:c r="I123" s="2"/>
      <x:c r="J123" s="2"/>
      <x:c r="K123" s="2"/>
    </x:row>
    <x:row r="124">
      <x:c r="A124" s="2"/>
      <x:c r="B124" s="2"/>
      <x:c r="C124" s="2"/>
      <x:c r="D124" s="2"/>
      <x:c r="E124" s="2"/>
      <x:c r="F124" s="2"/>
      <x:c r="G124" s="2"/>
      <x:c r="H124" s="2"/>
      <x:c r="I124" s="2"/>
      <x:c r="J124" s="2"/>
      <x:c r="K124" s="2"/>
    </x:row>
    <x:row r="125">
      <x:c r="A125" s="2"/>
      <x:c r="B125" s="2"/>
      <x:c r="C125" s="2"/>
      <x:c r="D125" s="2"/>
      <x:c r="E125" s="2"/>
      <x:c r="F125" s="2"/>
      <x:c r="G125" s="2"/>
      <x:c r="H125" s="2"/>
      <x:c r="I125" s="2"/>
      <x:c r="J125" s="2"/>
      <x:c r="K125" s="2"/>
    </x:row>
    <x:row r="126">
      <x:c r="A126" s="2"/>
      <x:c r="B126" s="2"/>
      <x:c r="C126" s="2"/>
      <x:c r="D126" s="2"/>
      <x:c r="E126" s="2"/>
      <x:c r="F126" s="2"/>
      <x:c r="G126" s="2"/>
      <x:c r="H126" s="2"/>
      <x:c r="I126" s="2"/>
      <x:c r="J126" s="2"/>
      <x:c r="K126" s="2"/>
    </x:row>
    <x:row r="127">
      <x:c r="A127" s="2"/>
      <x:c r="B127" s="2"/>
      <x:c r="C127" s="2"/>
      <x:c r="D127" s="2"/>
      <x:c r="E127" s="2"/>
      <x:c r="F127" s="2"/>
      <x:c r="G127" s="2"/>
      <x:c r="H127" s="2"/>
      <x:c r="I127" s="2"/>
      <x:c r="J127" s="2"/>
      <x:c r="K127" s="2"/>
    </x:row>
    <x:row r="128">
      <x:c r="A128" s="2"/>
      <x:c r="B128" s="2"/>
      <x:c r="C128" s="2"/>
      <x:c r="D128" s="2"/>
      <x:c r="E128" s="2"/>
      <x:c r="F128" s="2"/>
      <x:c r="G128" s="2"/>
      <x:c r="H128" s="2"/>
      <x:c r="I128" s="2"/>
      <x:c r="J128" s="2"/>
      <x:c r="K128" s="2"/>
    </x:row>
    <x:row r="129">
      <x:c r="A129" s="2"/>
      <x:c r="B129" s="2"/>
      <x:c r="C129" s="2"/>
      <x:c r="D129" s="2"/>
      <x:c r="E129" s="2"/>
      <x:c r="F129" s="2"/>
      <x:c r="G129" s="2"/>
      <x:c r="H129" s="2"/>
      <x:c r="I129" s="2"/>
      <x:c r="J129" s="2"/>
      <x:c r="K129" s="2"/>
    </x:row>
    <x:row r="130">
      <x:c r="A130" s="2"/>
      <x:c r="B130" s="2"/>
      <x:c r="C130" s="2"/>
      <x:c r="D130" s="2"/>
      <x:c r="E130" s="2"/>
      <x:c r="F130" s="2"/>
      <x:c r="G130" s="2"/>
      <x:c r="H130" s="2"/>
      <x:c r="I130" s="2"/>
      <x:c r="J130" s="2"/>
      <x:c r="K130" s="2"/>
    </x:row>
    <x:row r="131">
      <x:c r="A131" s="2"/>
      <x:c r="B131" s="2"/>
      <x:c r="C131" s="2"/>
      <x:c r="D131" s="2"/>
      <x:c r="E131" s="2"/>
      <x:c r="F131" s="2"/>
      <x:c r="G131" s="2"/>
      <x:c r="H131" s="2"/>
      <x:c r="I131" s="2"/>
      <x:c r="J131" s="2"/>
      <x:c r="K131" s="2"/>
    </x:row>
    <x:row r="132">
      <x:c r="A132" s="2"/>
      <x:c r="B132" s="2"/>
      <x:c r="C132" s="2"/>
      <x:c r="D132" s="2"/>
      <x:c r="E132" s="2"/>
      <x:c r="F132" s="2"/>
      <x:c r="G132" s="2"/>
      <x:c r="H132" s="2"/>
      <x:c r="I132" s="2"/>
      <x:c r="J132" s="2"/>
      <x:c r="K132" s="2"/>
    </x:row>
    <x:row r="133">
      <x:c r="A133" s="2"/>
      <x:c r="B133" s="2"/>
      <x:c r="C133" s="2"/>
      <x:c r="D133" s="2"/>
      <x:c r="E133" s="2"/>
      <x:c r="F133" s="2"/>
      <x:c r="G133" s="2"/>
      <x:c r="H133" s="2"/>
      <x:c r="I133" s="2"/>
      <x:c r="J133" s="2"/>
      <x:c r="K133" s="2"/>
    </x:row>
    <x:row r="134">
      <x:c r="A134" s="2"/>
      <x:c r="B134" s="2"/>
      <x:c r="C134" s="2"/>
      <x:c r="D134" s="2"/>
      <x:c r="E134" s="2"/>
      <x:c r="F134" s="2"/>
      <x:c r="G134" s="2"/>
      <x:c r="H134" s="2"/>
      <x:c r="I134" s="2"/>
      <x:c r="J134" s="2"/>
      <x:c r="K134" s="2"/>
    </x:row>
    <x:row r="135">
      <x:c r="A135" s="2"/>
      <x:c r="B135" s="2"/>
      <x:c r="C135" s="2"/>
      <x:c r="D135" s="2"/>
      <x:c r="E135" s="2"/>
      <x:c r="F135" s="2"/>
      <x:c r="G135" s="2"/>
      <x:c r="H135" s="2"/>
      <x:c r="I135" s="2"/>
      <x:c r="J135" s="2"/>
      <x:c r="K135" s="2"/>
    </x:row>
    <x:row r="136">
      <x:c r="A136" s="2"/>
      <x:c r="B136" s="2"/>
      <x:c r="C136" s="2"/>
      <x:c r="D136" s="2"/>
      <x:c r="E136" s="2"/>
      <x:c r="F136" s="2"/>
      <x:c r="G136" s="2"/>
      <x:c r="H136" s="2"/>
      <x:c r="I136" s="2"/>
      <x:c r="J136" s="2"/>
      <x:c r="K136" s="2"/>
    </x:row>
    <x:row r="137">
      <x:c r="A137" s="2"/>
      <x:c r="B137" s="2"/>
      <x:c r="C137" s="2"/>
      <x:c r="D137" s="2"/>
      <x:c r="E137" s="2"/>
      <x:c r="F137" s="2"/>
      <x:c r="G137" s="2"/>
      <x:c r="H137" s="2"/>
      <x:c r="I137" s="2"/>
      <x:c r="J137" s="2"/>
      <x:c r="K137" s="2"/>
    </x:row>
    <x:row r="138">
      <x:c r="A138" s="2"/>
      <x:c r="B138" s="2"/>
      <x:c r="C138" s="2"/>
      <x:c r="D138" s="2"/>
      <x:c r="E138" s="2"/>
      <x:c r="F138" s="2"/>
      <x:c r="G138" s="2"/>
      <x:c r="H138" s="2"/>
      <x:c r="I138" s="2"/>
      <x:c r="J138" s="2"/>
      <x:c r="K138" s="2"/>
    </x:row>
    <x:row r="139">
      <x:c r="A139" s="2"/>
      <x:c r="B139" s="2"/>
      <x:c r="C139" s="2"/>
      <x:c r="D139" s="2"/>
      <x:c r="E139" s="2"/>
      <x:c r="F139" s="2"/>
      <x:c r="G139" s="2"/>
      <x:c r="H139" s="2"/>
      <x:c r="I139" s="2"/>
      <x:c r="J139" s="2"/>
      <x:c r="K139" s="2"/>
    </x:row>
    <x:row r="140">
      <x:c r="A140" s="2"/>
      <x:c r="B140" s="2"/>
      <x:c r="C140" s="2"/>
      <x:c r="D140" s="2"/>
      <x:c r="E140" s="2"/>
      <x:c r="F140" s="2"/>
      <x:c r="G140" s="2"/>
      <x:c r="H140" s="2"/>
      <x:c r="I140" s="2"/>
      <x:c r="J140" s="2"/>
      <x:c r="K140" s="2"/>
    </x:row>
    <x:row r="141">
      <x:c r="A141" s="2"/>
      <x:c r="B141" s="2"/>
      <x:c r="C141" s="2"/>
      <x:c r="D141" s="2"/>
      <x:c r="E141" s="2"/>
      <x:c r="F141" s="2"/>
      <x:c r="G141" s="2"/>
      <x:c r="H141" s="2"/>
      <x:c r="I141" s="2"/>
      <x:c r="J141" s="2"/>
      <x:c r="K141" s="2"/>
    </x:row>
    <x:row r="142">
      <x:c r="A142" s="2"/>
      <x:c r="B142" s="2"/>
      <x:c r="C142" s="2"/>
      <x:c r="D142" s="2"/>
      <x:c r="E142" s="2"/>
      <x:c r="F142" s="2"/>
      <x:c r="G142" s="2"/>
      <x:c r="H142" s="2"/>
      <x:c r="I142" s="2"/>
      <x:c r="J142" s="2"/>
      <x:c r="K142" s="2"/>
    </x:row>
    <x:row r="143">
      <x:c r="A143" s="2"/>
      <x:c r="B143" s="2"/>
      <x:c r="C143" s="2"/>
      <x:c r="D143" s="2"/>
      <x:c r="E143" s="2"/>
      <x:c r="F143" s="2"/>
      <x:c r="G143" s="2"/>
      <x:c r="H143" s="2"/>
      <x:c r="I143" s="2"/>
      <x:c r="J143" s="2"/>
      <x:c r="K143" s="2"/>
    </x:row>
    <x:row r="144">
      <x:c r="A144" s="2"/>
      <x:c r="B144" s="2"/>
      <x:c r="C144" s="2"/>
      <x:c r="D144" s="2"/>
      <x:c r="E144" s="2"/>
      <x:c r="F144" s="2"/>
      <x:c r="G144" s="2"/>
      <x:c r="H144" s="2"/>
      <x:c r="I144" s="2"/>
      <x:c r="J144" s="2"/>
      <x:c r="K144" s="2"/>
    </x:row>
    <x:row r="145">
      <x:c r="A145" s="2"/>
      <x:c r="B145" s="2"/>
      <x:c r="C145" s="2"/>
      <x:c r="D145" s="2"/>
      <x:c r="E145" s="2"/>
      <x:c r="F145" s="2"/>
      <x:c r="G145" s="2"/>
      <x:c r="H145" s="2"/>
      <x:c r="I145" s="2"/>
      <x:c r="J145" s="2"/>
      <x:c r="K145" s="2"/>
    </x:row>
    <x:row r="146">
      <x:c r="A146" s="2"/>
      <x:c r="B146" s="2"/>
      <x:c r="C146" s="2"/>
      <x:c r="D146" s="2"/>
      <x:c r="E146" s="2"/>
      <x:c r="F146" s="2"/>
      <x:c r="G146" s="2"/>
      <x:c r="H146" s="2"/>
      <x:c r="I146" s="2"/>
      <x:c r="J146" s="2"/>
      <x:c r="K146" s="2"/>
    </x:row>
    <x:row r="147">
      <x:c r="A147" s="2"/>
      <x:c r="B147" s="2"/>
      <x:c r="C147" s="2"/>
      <x:c r="D147" s="2"/>
      <x:c r="E147" s="2"/>
      <x:c r="F147" s="2"/>
      <x:c r="G147" s="2"/>
      <x:c r="H147" s="2"/>
      <x:c r="I147" s="2"/>
      <x:c r="J147" s="2"/>
      <x:c r="K147" s="2"/>
    </x:row>
    <x:row r="148">
      <x:c r="A148" s="2"/>
      <x:c r="B148" s="2"/>
      <x:c r="C148" s="2"/>
      <x:c r="D148" s="2"/>
      <x:c r="E148" s="2"/>
      <x:c r="F148" s="2"/>
      <x:c r="G148" s="2"/>
      <x:c r="H148" s="2"/>
      <x:c r="I148" s="2"/>
      <x:c r="J148" s="2"/>
      <x:c r="K148" s="2"/>
    </x:row>
    <x:row r="149">
      <x:c r="A149" s="2"/>
      <x:c r="B149" s="2"/>
      <x:c r="C149" s="2"/>
      <x:c r="D149" s="2"/>
      <x:c r="E149" s="2"/>
      <x:c r="F149" s="2"/>
      <x:c r="G149" s="2"/>
      <x:c r="H149" s="2"/>
      <x:c r="I149" s="2"/>
      <x:c r="J149" s="2"/>
      <x:c r="K149" s="2"/>
    </x:row>
    <x:row r="150">
      <x:c r="A150" s="2"/>
      <x:c r="B150" s="2"/>
      <x:c r="C150" s="2"/>
      <x:c r="D150" s="2"/>
      <x:c r="E150" s="2"/>
      <x:c r="F150" s="2"/>
      <x:c r="G150" s="2"/>
      <x:c r="H150" s="2"/>
      <x:c r="I150" s="2"/>
      <x:c r="J150" s="2"/>
      <x:c r="K150" s="2"/>
    </x:row>
    <x:row r="151">
      <x:c r="A151" s="2"/>
      <x:c r="B151" s="2"/>
      <x:c r="C151" s="2"/>
      <x:c r="D151" s="2"/>
      <x:c r="E151" s="2"/>
      <x:c r="F151" s="2"/>
      <x:c r="G151" s="2"/>
      <x:c r="H151" s="2"/>
      <x:c r="I151" s="2"/>
      <x:c r="J151" s="2"/>
      <x:c r="K151" s="2"/>
    </x:row>
    <x:row r="152">
      <x:c r="A152" s="2"/>
      <x:c r="B152" s="2"/>
      <x:c r="C152" s="2"/>
      <x:c r="D152" s="2"/>
      <x:c r="E152" s="2"/>
      <x:c r="F152" s="2"/>
      <x:c r="G152" s="2"/>
      <x:c r="H152" s="2"/>
      <x:c r="I152" s="2"/>
      <x:c r="J152" s="2"/>
      <x:c r="K152" s="2"/>
    </x:row>
    <x:row r="153">
      <x:c r="A153" s="2"/>
      <x:c r="B153" s="2"/>
      <x:c r="C153" s="2"/>
      <x:c r="D153" s="2"/>
      <x:c r="E153" s="2"/>
      <x:c r="F153" s="2"/>
      <x:c r="G153" s="2"/>
      <x:c r="H153" s="2"/>
      <x:c r="I153" s="2"/>
      <x:c r="J153" s="2"/>
      <x:c r="K153" s="2"/>
    </x:row>
    <x:row r="154">
      <x:c r="A154" s="2"/>
      <x:c r="B154" s="2"/>
      <x:c r="C154" s="2"/>
      <x:c r="D154" s="2"/>
      <x:c r="E154" s="2"/>
      <x:c r="F154" s="2"/>
      <x:c r="G154" s="2"/>
      <x:c r="H154" s="2"/>
      <x:c r="I154" s="2"/>
      <x:c r="J154" s="2"/>
      <x:c r="K154" s="2"/>
    </x:row>
    <x:row r="155">
      <x:c r="A155" s="2"/>
      <x:c r="B155" s="2"/>
      <x:c r="C155" s="2"/>
      <x:c r="D155" s="2"/>
      <x:c r="E155" s="2"/>
      <x:c r="F155" s="2"/>
      <x:c r="G155" s="2"/>
      <x:c r="H155" s="2"/>
      <x:c r="I155" s="2"/>
      <x:c r="J155" s="2"/>
      <x:c r="K155" s="2"/>
    </x:row>
    <x:row r="156">
      <x:c r="A156" s="2"/>
      <x:c r="B156" s="2"/>
      <x:c r="C156" s="2"/>
      <x:c r="D156" s="2"/>
      <x:c r="E156" s="2"/>
      <x:c r="F156" s="2"/>
      <x:c r="G156" s="2"/>
      <x:c r="H156" s="2"/>
      <x:c r="I156" s="2"/>
      <x:c r="J156" s="2"/>
      <x:c r="K156" s="2"/>
    </x:row>
    <x:row r="157">
      <x:c r="A157" s="2"/>
      <x:c r="B157" s="2"/>
      <x:c r="C157" s="2"/>
      <x:c r="D157" s="2"/>
      <x:c r="E157" s="2"/>
      <x:c r="F157" s="2"/>
      <x:c r="G157" s="2"/>
      <x:c r="H157" s="2"/>
      <x:c r="I157" s="2"/>
      <x:c r="J157" s="2"/>
      <x:c r="K157" s="2"/>
    </x:row>
    <x:row r="158">
      <x:c r="A158" s="2"/>
      <x:c r="B158" s="2"/>
      <x:c r="C158" s="2"/>
      <x:c r="D158" s="2"/>
      <x:c r="E158" s="2"/>
      <x:c r="F158" s="2"/>
      <x:c r="G158" s="2"/>
      <x:c r="H158" s="2"/>
      <x:c r="I158" s="2"/>
      <x:c r="J158" s="2"/>
      <x:c r="K158" s="2"/>
    </x:row>
    <x:row r="159">
      <x:c r="A159" s="2"/>
      <x:c r="B159" s="2"/>
      <x:c r="C159" s="2"/>
      <x:c r="D159" s="2"/>
      <x:c r="E159" s="2"/>
      <x:c r="F159" s="2"/>
      <x:c r="G159" s="2"/>
      <x:c r="H159" s="2"/>
      <x:c r="I159" s="2"/>
      <x:c r="J159" s="2"/>
      <x:c r="K159" s="2"/>
    </x:row>
    <x:row r="160">
      <x:c r="A160" s="2"/>
      <x:c r="B160" s="2"/>
      <x:c r="C160" s="2"/>
      <x:c r="D160" s="2"/>
      <x:c r="E160" s="2"/>
      <x:c r="F160" s="2"/>
      <x:c r="G160" s="2"/>
      <x:c r="H160" s="2"/>
      <x:c r="I160" s="2"/>
      <x:c r="J160" s="2"/>
      <x:c r="K160" s="2"/>
    </x:row>
    <x:row r="161">
      <x:c r="A161" s="2"/>
      <x:c r="B161" s="2"/>
      <x:c r="C161" s="2"/>
      <x:c r="D161" s="2"/>
      <x:c r="E161" s="2"/>
      <x:c r="F161" s="2"/>
      <x:c r="G161" s="2"/>
      <x:c r="H161" s="2"/>
      <x:c r="I161" s="2"/>
      <x:c r="J161" s="2"/>
      <x:c r="K161" s="2"/>
    </x:row>
    <x:row r="162">
      <x:c r="A162" s="2"/>
      <x:c r="B162" s="2"/>
      <x:c r="C162" s="2"/>
      <x:c r="D162" s="2"/>
      <x:c r="E162" s="2"/>
      <x:c r="F162" s="2"/>
      <x:c r="G162" s="2"/>
      <x:c r="H162" s="2"/>
      <x:c r="I162" s="2"/>
      <x:c r="J162" s="2"/>
      <x:c r="K162" s="2"/>
    </x:row>
    <x:row r="163">
      <x:c r="A163" s="2"/>
      <x:c r="B163" s="2"/>
      <x:c r="C163" s="2"/>
      <x:c r="D163" s="2"/>
      <x:c r="E163" s="2"/>
      <x:c r="F163" s="2"/>
      <x:c r="G163" s="2"/>
      <x:c r="H163" s="2"/>
      <x:c r="I163" s="2"/>
      <x:c r="J163" s="2"/>
      <x:c r="K163" s="2"/>
    </x:row>
    <x:row r="164">
      <x:c r="A164" s="2"/>
      <x:c r="B164" s="2"/>
      <x:c r="C164" s="2"/>
      <x:c r="D164" s="2"/>
      <x:c r="E164" s="2"/>
      <x:c r="F164" s="2"/>
      <x:c r="G164" s="2"/>
      <x:c r="H164" s="2"/>
      <x:c r="I164" s="2"/>
      <x:c r="J164" s="2"/>
      <x:c r="K164" s="2"/>
    </x:row>
    <x:row r="165">
      <x:c r="A165" s="2"/>
      <x:c r="B165" s="2"/>
      <x:c r="C165" s="2"/>
      <x:c r="D165" s="2"/>
      <x:c r="E165" s="2"/>
      <x:c r="F165" s="2"/>
      <x:c r="G165" s="2"/>
      <x:c r="H165" s="2"/>
      <x:c r="I165" s="2"/>
      <x:c r="J165" s="2"/>
      <x:c r="K165" s="2"/>
    </x:row>
    <x:row r="166">
      <x:c r="A166" s="2"/>
      <x:c r="B166" s="2"/>
      <x:c r="C166" s="2"/>
      <x:c r="D166" s="2"/>
      <x:c r="E166" s="2"/>
      <x:c r="F166" s="2"/>
      <x:c r="G166" s="2"/>
      <x:c r="H166" s="2"/>
      <x:c r="I166" s="2"/>
      <x:c r="J166" s="2"/>
      <x:c r="K166" s="2"/>
    </x:row>
    <x:row r="167">
      <x:c r="A167" s="2"/>
      <x:c r="B167" s="2"/>
      <x:c r="C167" s="2"/>
      <x:c r="D167" s="2"/>
      <x:c r="E167" s="2"/>
      <x:c r="F167" s="2"/>
      <x:c r="G167" s="2"/>
      <x:c r="H167" s="2"/>
      <x:c r="I167" s="2"/>
      <x:c r="J167" s="2"/>
      <x:c r="K167" s="2"/>
    </x:row>
    <x:row r="168">
      <x:c r="A168" s="2"/>
      <x:c r="B168" s="2"/>
      <x:c r="C168" s="2"/>
      <x:c r="D168" s="2"/>
      <x:c r="E168" s="2"/>
      <x:c r="F168" s="2"/>
      <x:c r="G168" s="2"/>
      <x:c r="H168" s="2"/>
      <x:c r="I168" s="2"/>
      <x:c r="J168" s="2"/>
      <x:c r="K168" s="2"/>
    </x:row>
    <x:row r="169">
      <x:c r="A169" s="2"/>
      <x:c r="B169" s="2"/>
      <x:c r="C169" s="2"/>
      <x:c r="D169" s="2"/>
      <x:c r="E169" s="2"/>
      <x:c r="F169" s="2"/>
      <x:c r="G169" s="2"/>
      <x:c r="H169" s="2"/>
      <x:c r="I169" s="2"/>
      <x:c r="J169" s="2"/>
      <x:c r="K169" s="2"/>
    </x:row>
    <x:row r="170">
      <x:c r="A170" s="2"/>
      <x:c r="B170" s="2"/>
      <x:c r="C170" s="2"/>
      <x:c r="D170" s="2"/>
      <x:c r="E170" s="2"/>
      <x:c r="F170" s="2"/>
      <x:c r="G170" s="2"/>
      <x:c r="H170" s="2"/>
      <x:c r="I170" s="2"/>
      <x:c r="J170" s="2"/>
      <x:c r="K170" s="2"/>
    </x:row>
    <x:row r="171">
      <x:c r="A171" s="2"/>
      <x:c r="B171" s="2"/>
      <x:c r="C171" s="2"/>
      <x:c r="D171" s="2"/>
      <x:c r="E171" s="2"/>
      <x:c r="F171" s="2"/>
      <x:c r="G171" s="2"/>
      <x:c r="H171" s="2"/>
      <x:c r="I171" s="2"/>
      <x:c r="J171" s="2"/>
      <x:c r="K171" s="2"/>
    </x:row>
    <x:row r="172">
      <x:c r="A172" s="2"/>
      <x:c r="B172" s="2"/>
      <x:c r="C172" s="2"/>
      <x:c r="D172" s="2"/>
      <x:c r="E172" s="2"/>
      <x:c r="F172" s="2"/>
      <x:c r="G172" s="2"/>
      <x:c r="H172" s="2"/>
      <x:c r="I172" s="2"/>
      <x:c r="J172" s="2"/>
      <x:c r="K172" s="2"/>
    </x:row>
    <x:row r="173">
      <x:c r="A173" s="2"/>
      <x:c r="B173" s="2"/>
      <x:c r="C173" s="2"/>
      <x:c r="D173" s="2"/>
      <x:c r="E173" s="2"/>
      <x:c r="F173" s="2"/>
      <x:c r="G173" s="2"/>
      <x:c r="H173" s="2"/>
      <x:c r="I173" s="2"/>
      <x:c r="J173" s="2"/>
      <x:c r="K173" s="2"/>
    </x:row>
    <x:row r="174">
      <x:c r="A174" s="2"/>
      <x:c r="B174" s="2"/>
      <x:c r="C174" s="2"/>
      <x:c r="D174" s="2"/>
      <x:c r="E174" s="2"/>
      <x:c r="F174" s="2"/>
      <x:c r="G174" s="2"/>
      <x:c r="H174" s="2"/>
      <x:c r="I174" s="2"/>
      <x:c r="J174" s="2"/>
      <x:c r="K174" s="2"/>
    </x:row>
    <x:row r="175">
      <x:c r="A175" s="2"/>
      <x:c r="B175" s="2"/>
      <x:c r="C175" s="2"/>
      <x:c r="D175" s="2"/>
      <x:c r="E175" s="2"/>
      <x:c r="F175" s="2"/>
      <x:c r="G175" s="2"/>
      <x:c r="H175" s="2"/>
      <x:c r="I175" s="2"/>
      <x:c r="J175" s="2"/>
      <x:c r="K175" s="2"/>
    </x:row>
    <x:row r="176">
      <x:c r="A176" s="2"/>
      <x:c r="B176" s="2"/>
      <x:c r="C176" s="2"/>
      <x:c r="D176" s="2"/>
      <x:c r="E176" s="2"/>
      <x:c r="F176" s="2"/>
      <x:c r="G176" s="2"/>
      <x:c r="H176" s="2"/>
      <x:c r="I176" s="2"/>
      <x:c r="J176" s="2"/>
      <x:c r="K176" s="2"/>
    </x:row>
    <x:row r="177">
      <x:c r="A177" s="2"/>
      <x:c r="B177" s="2"/>
      <x:c r="C177" s="2"/>
      <x:c r="D177" s="2"/>
      <x:c r="E177" s="2"/>
      <x:c r="F177" s="2"/>
      <x:c r="G177" s="2"/>
      <x:c r="H177" s="2"/>
      <x:c r="I177" s="2"/>
      <x:c r="J177" s="2"/>
      <x:c r="K177" s="2"/>
    </x:row>
    <x:row r="178">
      <x:c r="A178" s="2"/>
      <x:c r="B178" s="2"/>
      <x:c r="C178" s="2"/>
      <x:c r="D178" s="2"/>
      <x:c r="E178" s="2"/>
      <x:c r="F178" s="2"/>
      <x:c r="G178" s="2"/>
      <x:c r="H178" s="2"/>
      <x:c r="I178" s="2"/>
      <x:c r="J178" s="2"/>
      <x:c r="K178" s="2"/>
    </x:row>
    <x:row r="179">
      <x:c r="A179" s="2"/>
      <x:c r="B179" s="2"/>
      <x:c r="C179" s="2"/>
      <x:c r="D179" s="2"/>
      <x:c r="E179" s="2"/>
      <x:c r="F179" s="2"/>
      <x:c r="G179" s="2"/>
      <x:c r="H179" s="2"/>
      <x:c r="I179" s="2"/>
      <x:c r="J179" s="2"/>
      <x:c r="K179" s="2"/>
    </x:row>
    <x:row r="180">
      <x:c r="A180" s="2"/>
      <x:c r="B180" s="2"/>
      <x:c r="C180" s="2"/>
      <x:c r="D180" s="2"/>
      <x:c r="E180" s="2"/>
      <x:c r="F180" s="2"/>
      <x:c r="G180" s="2"/>
      <x:c r="H180" s="2"/>
      <x:c r="I180" s="2"/>
      <x:c r="J180" s="2"/>
      <x:c r="K180" s="2"/>
    </x:row>
    <x:row r="181">
      <x:c r="A181" s="2"/>
      <x:c r="B181" s="2"/>
      <x:c r="C181" s="2"/>
      <x:c r="D181" s="2"/>
      <x:c r="E181" s="2"/>
      <x:c r="F181" s="2"/>
      <x:c r="G181" s="2"/>
      <x:c r="H181" s="2"/>
      <x:c r="I181" s="2"/>
      <x:c r="J181" s="2"/>
      <x:c r="K181" s="2"/>
    </x:row>
    <x:row r="182">
      <x:c r="A182" s="2"/>
      <x:c r="B182" s="2"/>
      <x:c r="C182" s="2"/>
      <x:c r="D182" s="2"/>
      <x:c r="E182" s="2"/>
      <x:c r="F182" s="2"/>
      <x:c r="G182" s="2"/>
      <x:c r="H182" s="2"/>
      <x:c r="I182" s="2"/>
      <x:c r="J182" s="2"/>
      <x:c r="K182" s="2"/>
    </x:row>
    <x:row r="183">
      <x:c r="A183" s="2"/>
      <x:c r="B183" s="2"/>
      <x:c r="C183" s="2"/>
      <x:c r="D183" s="2"/>
      <x:c r="E183" s="2"/>
      <x:c r="F183" s="2"/>
      <x:c r="G183" s="2"/>
      <x:c r="H183" s="2"/>
      <x:c r="I183" s="2"/>
      <x:c r="J183" s="2"/>
      <x:c r="K183" s="2"/>
    </x:row>
    <x:row r="184">
      <x:c r="A184" s="2"/>
      <x:c r="B184" s="2"/>
      <x:c r="C184" s="2"/>
      <x:c r="D184" s="2"/>
      <x:c r="E184" s="2"/>
      <x:c r="F184" s="2"/>
      <x:c r="G184" s="2"/>
      <x:c r="H184" s="2"/>
      <x:c r="I184" s="2"/>
      <x:c r="J184" s="2"/>
      <x:c r="K184" s="2"/>
    </x:row>
    <x:row r="185">
      <x:c r="A185" s="2"/>
      <x:c r="B185" s="2"/>
      <x:c r="C185" s="2"/>
      <x:c r="D185" s="2"/>
      <x:c r="E185" s="2"/>
      <x:c r="F185" s="2"/>
      <x:c r="G185" s="2"/>
      <x:c r="H185" s="2"/>
      <x:c r="I185" s="2"/>
      <x:c r="J185" s="2"/>
      <x:c r="K185" s="2"/>
    </x:row>
    <x:row r="186">
      <x:c r="A186" s="2"/>
      <x:c r="B186" s="2"/>
      <x:c r="C186" s="2"/>
      <x:c r="D186" s="2"/>
      <x:c r="E186" s="2"/>
      <x:c r="F186" s="2"/>
      <x:c r="G186" s="2"/>
      <x:c r="H186" s="2"/>
      <x:c r="I186" s="2"/>
      <x:c r="J186" s="2"/>
      <x:c r="K186" s="2"/>
    </x:row>
    <x:row r="187">
      <x:c r="A187" s="2"/>
      <x:c r="B187" s="2"/>
      <x:c r="C187" s="2"/>
      <x:c r="D187" s="2"/>
      <x:c r="E187" s="2"/>
      <x:c r="F187" s="2"/>
      <x:c r="G187" s="2"/>
      <x:c r="H187" s="2"/>
      <x:c r="I187" s="2"/>
      <x:c r="J187" s="2"/>
      <x:c r="K187" s="2"/>
    </x:row>
    <x:row r="188">
      <x:c r="A188" s="2"/>
      <x:c r="B188" s="2"/>
      <x:c r="C188" s="2"/>
      <x:c r="D188" s="2"/>
      <x:c r="E188" s="2"/>
      <x:c r="F188" s="2"/>
      <x:c r="G188" s="2"/>
      <x:c r="H188" s="2"/>
      <x:c r="I188" s="2"/>
      <x:c r="J188" s="2"/>
      <x:c r="K188" s="2"/>
    </x:row>
    <x:row r="189">
      <x:c r="A189" s="2"/>
      <x:c r="B189" s="2"/>
      <x:c r="C189" s="2"/>
      <x:c r="D189" s="2"/>
      <x:c r="E189" s="2"/>
      <x:c r="F189" s="2"/>
      <x:c r="G189" s="2"/>
      <x:c r="H189" s="2"/>
      <x:c r="I189" s="2"/>
      <x:c r="J189" s="2"/>
      <x:c r="K189" s="2"/>
    </x:row>
    <x:row r="190">
      <x:c r="A190" s="2"/>
      <x:c r="B190" s="2"/>
      <x:c r="C190" s="2"/>
      <x:c r="D190" s="2"/>
      <x:c r="E190" s="2"/>
      <x:c r="F190" s="2"/>
      <x:c r="G190" s="2"/>
      <x:c r="H190" s="2"/>
      <x:c r="I190" s="2"/>
      <x:c r="J190" s="2"/>
      <x:c r="K190" s="2"/>
    </x:row>
    <x:row r="191">
      <x:c r="A191" s="2"/>
      <x:c r="B191" s="2"/>
      <x:c r="C191" s="2"/>
      <x:c r="D191" s="2"/>
      <x:c r="E191" s="2"/>
      <x:c r="F191" s="2"/>
      <x:c r="G191" s="2"/>
      <x:c r="H191" s="2"/>
      <x:c r="I191" s="2"/>
      <x:c r="J191" s="2"/>
      <x:c r="K191" s="2"/>
    </x:row>
    <x:row r="192">
      <x:c r="A192" s="2"/>
      <x:c r="B192" s="2"/>
      <x:c r="C192" s="2"/>
      <x:c r="D192" s="2"/>
      <x:c r="E192" s="2"/>
      <x:c r="F192" s="2"/>
      <x:c r="G192" s="2"/>
      <x:c r="H192" s="2"/>
      <x:c r="I192" s="2"/>
      <x:c r="J192" s="2"/>
      <x:c r="K192" s="2"/>
    </x:row>
    <x:row r="193">
      <x:c r="A193" s="2"/>
      <x:c r="B193" s="2"/>
      <x:c r="C193" s="2"/>
      <x:c r="D193" s="2"/>
      <x:c r="E193" s="2"/>
      <x:c r="F193" s="2"/>
      <x:c r="G193" s="2"/>
      <x:c r="H193" s="2"/>
      <x:c r="I193" s="2"/>
      <x:c r="J193" s="2"/>
      <x:c r="K193" s="2"/>
    </x:row>
    <x:row r="194">
      <x:c r="A194" s="2"/>
      <x:c r="B194" s="2"/>
      <x:c r="C194" s="2"/>
      <x:c r="D194" s="2"/>
      <x:c r="E194" s="2"/>
      <x:c r="F194" s="2"/>
      <x:c r="G194" s="2"/>
      <x:c r="H194" s="2"/>
      <x:c r="I194" s="2"/>
      <x:c r="J194" s="2"/>
      <x:c r="K194" s="2"/>
    </x:row>
    <x:row r="195">
      <x:c r="A195" s="2"/>
      <x:c r="B195" s="2"/>
      <x:c r="C195" s="2"/>
      <x:c r="D195" s="2"/>
      <x:c r="E195" s="2"/>
      <x:c r="F195" s="2"/>
      <x:c r="G195" s="2"/>
      <x:c r="H195" s="2"/>
      <x:c r="I195" s="2"/>
      <x:c r="J195" s="2"/>
      <x:c r="K195" s="2"/>
    </x:row>
    <x:row r="196">
      <x:c r="A196" s="2"/>
      <x:c r="B196" s="2"/>
      <x:c r="C196" s="2"/>
      <x:c r="D196" s="2"/>
      <x:c r="E196" s="2"/>
      <x:c r="F196" s="2"/>
      <x:c r="G196" s="2"/>
      <x:c r="H196" s="2"/>
      <x:c r="I196" s="2"/>
      <x:c r="J196" s="2"/>
      <x:c r="K196" s="2"/>
    </x:row>
    <x:row r="197">
      <x:c r="A197" s="2"/>
      <x:c r="B197" s="2"/>
      <x:c r="C197" s="2"/>
      <x:c r="D197" s="2"/>
      <x:c r="E197" s="2"/>
      <x:c r="F197" s="2"/>
      <x:c r="G197" s="2"/>
      <x:c r="H197" s="2"/>
      <x:c r="I197" s="2"/>
      <x:c r="J197" s="2"/>
      <x:c r="K197" s="2"/>
    </x:row>
    <x:row r="198">
      <x:c r="A198" s="2"/>
      <x:c r="B198" s="2"/>
      <x:c r="C198" s="2"/>
      <x:c r="D198" s="2"/>
      <x:c r="E198" s="2"/>
      <x:c r="F198" s="2"/>
      <x:c r="G198" s="2"/>
      <x:c r="H198" s="2"/>
      <x:c r="I198" s="2"/>
      <x:c r="J198" s="2"/>
      <x:c r="K198" s="2"/>
    </x:row>
    <x:row r="199">
      <x:c r="A199" s="2"/>
      <x:c r="B199" s="2"/>
      <x:c r="C199" s="2"/>
      <x:c r="D199" s="2"/>
      <x:c r="E199" s="2"/>
      <x:c r="F199" s="2"/>
      <x:c r="G199" s="2"/>
      <x:c r="H199" s="2"/>
      <x:c r="I199" s="2"/>
      <x:c r="J199" s="2"/>
      <x:c r="K199" s="2"/>
    </x:row>
    <x:row r="200">
      <x:c r="A200" s="2"/>
      <x:c r="B200" s="2"/>
      <x:c r="C200" s="2"/>
      <x:c r="D200" s="2"/>
      <x:c r="E200" s="2"/>
      <x:c r="F200" s="2"/>
      <x:c r="G200" s="2"/>
      <x:c r="H200" s="2"/>
      <x:c r="I200" s="2"/>
      <x:c r="J200" s="2"/>
      <x:c r="K200" s="2"/>
    </x:row>
    <x:row r="201">
      <x:c r="A201" s="2"/>
      <x:c r="B201" s="2"/>
      <x:c r="C201" s="2"/>
      <x:c r="D201" s="2"/>
      <x:c r="E201" s="2"/>
      <x:c r="F201" s="2"/>
      <x:c r="G201" s="2"/>
      <x:c r="H201" s="2"/>
      <x:c r="I201" s="2"/>
      <x:c r="J201" s="2"/>
      <x:c r="K201" s="2"/>
    </x:row>
    <x:row r="202">
      <x:c r="A202" s="2"/>
      <x:c r="B202" s="2"/>
      <x:c r="C202" s="2"/>
      <x:c r="D202" s="2"/>
      <x:c r="E202" s="2"/>
      <x:c r="F202" s="2"/>
      <x:c r="G202" s="2"/>
      <x:c r="H202" s="2"/>
      <x:c r="I202" s="2"/>
      <x:c r="J202" s="2"/>
      <x:c r="K202" s="2"/>
    </x:row>
    <x:row r="203">
      <x:c r="A203" s="2"/>
      <x:c r="B203" s="2"/>
      <x:c r="C203" s="2"/>
      <x:c r="D203" s="2"/>
      <x:c r="E203" s="2"/>
      <x:c r="F203" s="2"/>
      <x:c r="G203" s="2"/>
      <x:c r="H203" s="2"/>
      <x:c r="I203" s="2"/>
      <x:c r="J203" s="2"/>
      <x:c r="K203" s="2"/>
    </x:row>
    <x:row r="204">
      <x:c r="A204" s="2"/>
      <x:c r="B204" s="2"/>
      <x:c r="C204" s="2"/>
      <x:c r="D204" s="2"/>
      <x:c r="E204" s="2"/>
      <x:c r="F204" s="2"/>
      <x:c r="G204" s="2"/>
      <x:c r="H204" s="2"/>
      <x:c r="I204" s="2"/>
      <x:c r="J204" s="2"/>
      <x:c r="K204" s="2"/>
    </x:row>
    <x:row r="205">
      <x:c r="A205" s="2"/>
      <x:c r="B205" s="2"/>
      <x:c r="C205" s="2"/>
      <x:c r="D205" s="2"/>
      <x:c r="E205" s="2"/>
      <x:c r="F205" s="2"/>
      <x:c r="G205" s="2"/>
      <x:c r="H205" s="2"/>
      <x:c r="I205" s="2"/>
      <x:c r="J205" s="2"/>
      <x:c r="K205" s="2"/>
    </x:row>
    <x:row r="206">
      <x:c r="A206" s="2"/>
      <x:c r="B206" s="2"/>
      <x:c r="C206" s="2"/>
      <x:c r="D206" s="2"/>
      <x:c r="E206" s="2"/>
      <x:c r="F206" s="2"/>
      <x:c r="G206" s="2"/>
      <x:c r="H206" s="2"/>
      <x:c r="I206" s="2"/>
      <x:c r="J206" s="2"/>
      <x:c r="K206" s="2"/>
    </x:row>
    <x:row r="207">
      <x:c r="A207" s="2"/>
      <x:c r="B207" s="2"/>
      <x:c r="C207" s="2"/>
      <x:c r="D207" s="2"/>
      <x:c r="E207" s="2"/>
      <x:c r="F207" s="2"/>
      <x:c r="G207" s="2"/>
      <x:c r="H207" s="2"/>
      <x:c r="I207" s="2"/>
      <x:c r="J207" s="2"/>
      <x:c r="K207" s="2"/>
    </x:row>
    <x:row r="208">
      <x:c r="A208" s="2"/>
      <x:c r="B208" s="2"/>
      <x:c r="C208" s="2"/>
      <x:c r="D208" s="2"/>
      <x:c r="E208" s="2"/>
      <x:c r="F208" s="2"/>
      <x:c r="G208" s="2"/>
      <x:c r="H208" s="2"/>
      <x:c r="I208" s="2"/>
      <x:c r="J208" s="2"/>
      <x:c r="K208" s="2"/>
    </x:row>
    <x:row r="209">
      <x:c r="A209" s="2"/>
      <x:c r="B209" s="2"/>
      <x:c r="C209" s="2"/>
      <x:c r="D209" s="2"/>
      <x:c r="E209" s="2"/>
      <x:c r="F209" s="2"/>
      <x:c r="G209" s="2"/>
      <x:c r="H209" s="2"/>
      <x:c r="I209" s="2"/>
      <x:c r="J209" s="2"/>
      <x:c r="K209" s="2"/>
    </x:row>
    <x:row r="210">
      <x:c r="A210" s="2"/>
      <x:c r="B210" s="2"/>
      <x:c r="C210" s="2"/>
      <x:c r="D210" s="2"/>
      <x:c r="E210" s="2"/>
      <x:c r="F210" s="2"/>
      <x:c r="G210" s="2"/>
      <x:c r="H210" s="2"/>
      <x:c r="I210" s="2"/>
      <x:c r="J210" s="2"/>
      <x:c r="K210" s="2"/>
    </x:row>
    <x:row r="211">
      <x:c r="A211" s="2"/>
      <x:c r="B211" s="2"/>
      <x:c r="C211" s="2"/>
      <x:c r="D211" s="2"/>
      <x:c r="E211" s="2"/>
      <x:c r="F211" s="2"/>
      <x:c r="G211" s="2"/>
      <x:c r="H211" s="2"/>
      <x:c r="I211" s="2"/>
      <x:c r="J211" s="2"/>
      <x:c r="K211" s="2"/>
    </x:row>
    <x:row r="212">
      <x:c r="A212" s="2"/>
      <x:c r="B212" s="2"/>
      <x:c r="C212" s="2"/>
      <x:c r="D212" s="2"/>
      <x:c r="E212" s="2"/>
      <x:c r="F212" s="2"/>
      <x:c r="G212" s="2"/>
      <x:c r="H212" s="2"/>
      <x:c r="I212" s="2"/>
      <x:c r="J212" s="2"/>
      <x:c r="K212" s="2"/>
    </x:row>
    <x:row r="213">
      <x:c r="A213" s="2"/>
      <x:c r="B213" s="2"/>
      <x:c r="C213" s="2"/>
      <x:c r="D213" s="2"/>
      <x:c r="E213" s="2"/>
      <x:c r="F213" s="2"/>
      <x:c r="G213" s="2"/>
      <x:c r="H213" s="2"/>
      <x:c r="I213" s="2"/>
      <x:c r="J213" s="2"/>
      <x:c r="K213" s="2"/>
    </x:row>
    <x:row r="214">
      <x:c r="A214" s="2"/>
      <x:c r="B214" s="2"/>
      <x:c r="C214" s="2"/>
      <x:c r="D214" s="2"/>
      <x:c r="E214" s="2"/>
      <x:c r="F214" s="2"/>
      <x:c r="G214" s="2"/>
      <x:c r="H214" s="2"/>
      <x:c r="I214" s="2"/>
      <x:c r="J214" s="2"/>
      <x:c r="K214" s="2"/>
    </x:row>
    <x:row r="215">
      <x:c r="A215" s="2"/>
      <x:c r="B215" s="2"/>
      <x:c r="C215" s="2"/>
      <x:c r="D215" s="2"/>
      <x:c r="E215" s="2"/>
      <x:c r="F215" s="2"/>
      <x:c r="G215" s="2"/>
      <x:c r="H215" s="2"/>
      <x:c r="I215" s="2"/>
      <x:c r="J215" s="2"/>
      <x:c r="K215" s="2"/>
    </x:row>
    <x:row r="216">
      <x:c r="A216" s="2"/>
      <x:c r="B216" s="2"/>
      <x:c r="C216" s="2"/>
      <x:c r="D216" s="2"/>
      <x:c r="E216" s="2"/>
      <x:c r="F216" s="2"/>
      <x:c r="G216" s="2"/>
      <x:c r="H216" s="2"/>
      <x:c r="I216" s="2"/>
      <x:c r="J216" s="2"/>
      <x:c r="K216" s="2"/>
    </x:row>
    <x:row r="217">
      <x:c r="A217" s="2"/>
      <x:c r="B217" s="2"/>
      <x:c r="C217" s="2"/>
      <x:c r="D217" s="2"/>
      <x:c r="E217" s="2"/>
      <x:c r="F217" s="2"/>
      <x:c r="G217" s="2"/>
      <x:c r="H217" s="2"/>
      <x:c r="I217" s="2"/>
      <x:c r="J217" s="2"/>
      <x:c r="K217" s="2"/>
    </x:row>
    <x:row r="218">
      <x:c r="A218" s="2"/>
      <x:c r="B218" s="2"/>
      <x:c r="C218" s="2"/>
      <x:c r="D218" s="2"/>
      <x:c r="E218" s="2"/>
      <x:c r="F218" s="2"/>
      <x:c r="G218" s="2"/>
      <x:c r="H218" s="2"/>
      <x:c r="I218" s="2"/>
      <x:c r="J218" s="2"/>
      <x:c r="K218" s="2"/>
    </x:row>
    <x:row r="219">
      <x:c r="A219" s="2"/>
      <x:c r="B219" s="2"/>
      <x:c r="C219" s="2"/>
      <x:c r="D219" s="2"/>
      <x:c r="E219" s="2"/>
      <x:c r="F219" s="2"/>
      <x:c r="G219" s="2"/>
      <x:c r="H219" s="2"/>
      <x:c r="I219" s="2"/>
      <x:c r="J219" s="2"/>
      <x:c r="K219" s="2"/>
    </x:row>
    <x:row r="220">
      <x:c r="A220" s="2"/>
      <x:c r="B220" s="2"/>
      <x:c r="C220" s="2"/>
      <x:c r="D220" s="2"/>
      <x:c r="E220" s="2"/>
      <x:c r="F220" s="2"/>
      <x:c r="G220" s="2"/>
      <x:c r="H220" s="2"/>
      <x:c r="I220" s="2"/>
      <x:c r="J220" s="2"/>
      <x:c r="K220" s="2"/>
    </x:row>
  </x:sheetData>
  <x:mergeCells>
    <x:mergeCell ref="A1:E1"/>
    <x:mergeCell ref="A2:E2"/>
  </x:mergeCells>
  <x:pageMargins left="0.7" right="0.7" top="0.75" bottom="0.75" header="0.3" footer="0.3"/>
  <x:tableParts count="1">
    <x:tablePart xmlns:r="http://schemas.openxmlformats.org/officeDocument/2006/relationships" r:id="R5587d6a8694748a7"/>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1.25" hidden="0" customWidth="1"/>
    <x:col min="2" max="2" width="48.130001068115234" hidden="0" customWidth="1"/>
    <x:col min="3" max="3" width="8.75" hidden="0" customWidth="1"/>
    <x:col min="4" max="4" width="11.25" hidden="0" customWidth="1"/>
    <x:col min="5" max="5" width="9.380000114440918" hidden="0" customWidth="1"/>
    <x:col min="6" max="6" width="13.75" hidden="0" customWidth="1"/>
    <x:col min="7" max="7" width="45" hidden="0" customWidth="1"/>
    <x:col min="8" max="8" width="85" hidden="0" customWidth="1"/>
  </x:cols>
  <x:sheetData>
    <x:row r="1" ht="40" customHeight="1">
      <x:c r="A1" s="5" t="str">
        <x:v>Options not adopted</x:v>
      </x:c>
      <x:c r="B1" s="4"/>
      <x:c r="C1" s="4"/>
      <x:c r="D1" s="4"/>
      <x:c r="E1" s="4"/>
      <x:c r="F1" s="4"/>
      <x:c r="G1" s="4"/>
      <x:c r="H1" s="4"/>
      <x:c r="I1" s="2"/>
      <x:c r="J1" s="2"/>
      <x:c r="K1" s="2"/>
    </x:row>
    <x:row r="2" ht="28" customHeight="1">
      <x:c r="A2" s="2" t="str">
        <x:v>These offers are not added to the current-design subtotal. Prices may be in different currencies.</x:v>
      </x:c>
      <x:c r="B2" s="2"/>
      <x:c r="C2" s="2"/>
      <x:c r="D2" s="2"/>
      <x:c r="E2" s="2"/>
      <x:c r="F2" s="2"/>
      <x:c r="G2" s="2"/>
      <x:c r="H2" s="2"/>
      <x:c r="I2" s="2"/>
      <x:c r="J2" s="2"/>
      <x:c r="K2" s="2"/>
    </x:row>
    <x:row r="3">
      <x:c r="A3" s="2"/>
      <x:c r="B3" s="2"/>
      <x:c r="C3" s="2"/>
      <x:c r="D3" s="2"/>
      <x:c r="E3" s="2"/>
      <x:c r="F3" s="2"/>
      <x:c r="G3" s="2"/>
      <x:c r="H3" s="2"/>
      <x:c r="I3" s="2"/>
      <x:c r="J3" s="2"/>
      <x:c r="K3" s="2"/>
    </x:row>
    <x:row r="4" ht="36" customHeight="1">
      <x:c r="A4" s="7" t="str">
        <x:v>ID</x:v>
      </x:c>
      <x:c r="B4" s="7" t="str">
        <x:v>Candidate</x:v>
      </x:c>
      <x:c r="C4" s="7" t="str">
        <x:v>Buy qty</x:v>
      </x:c>
      <x:c r="D4" s="7" t="str">
        <x:v>Unit price</x:v>
      </x:c>
      <x:c r="E4" s="7" t="str">
        <x:v>Currency</x:v>
      </x:c>
      <x:c r="F4" s="7" t="str">
        <x:v>Goods total</x:v>
      </x:c>
      <x:c r="G4" s="7" t="str">
        <x:v>Source</x:v>
      </x:c>
      <x:c r="H4" s="7" t="str">
        <x:v>Reason / remaining design work</x:v>
      </x:c>
      <x:c r="I4" s="2"/>
      <x:c r="J4" s="2"/>
      <x:c r="K4" s="2"/>
    </x:row>
    <x:row r="5" ht="170" customHeight="1">
      <x:c r="A5" s="6" t="str">
        <x:v>RET-MDF-01</x:v>
      </x:c>
      <x:c r="B5" s="6" t="str">
        <x:v>A-grade MDF, 3/4 inch x 4 ft x 8 ft, one sheet</x:v>
      </x:c>
      <x:c r="C5" s="6" t="n">
        <x:v>1</x:v>
      </x:c>
      <x:c r="D5" s="13" t="n">
        <x:v>35</x:v>
      </x:c>
      <x:c r="E5" s="6" t="str">
        <x:v>USD</x:v>
      </x:c>
      <x:c r="F5" s="13" t="n">
        <x:f>IF(ISNUMBER(D5),ROUND(C5*D5,2),"")</x:f>
        <x:v>35</x:v>
      </x:c>
      <x:c r="G5" s="6" t="str">
        <x:v>https://cdn.hibuwebsites.com/8146c0f71b4c4391ae7a534b644b0c01/files/uploaded/plywood-price-list-01-peach-state-lumber-products.pdf</x:v>
      </x:c>
      <x:c r="H5" s="6" t="str">
        <x:v>Price PDF reached through current products page Plywood Price List link on 2026-09-24; PDF page2 lists 3/4 x 4ft x 8ft MDF (A GRADE) $35.00 and MDF (ELITE) $41.00. PDF contains a 2025 last-updated mark and prices subject to change. Regional pickup candidate only, not a ZIP30510 delivery quote. Seller states no minimum retail order and in-store pickup available at4000 Moon Station Rd NW, Kennesaw GA30144. Item-specific inventory, refreshed price, tax and collection travel are unconfirmed. Six495 x397 mm spoilboards; four500 x20 mm staging strips surfaced to15mm from offcut. One1219.2 x2438.4mm sheet is sufficient: six main rectangles in2columns x3rows occupy996 x1203mm allowing6mm between cuts; four strips in2columns x2rows occupy1006 x46mm in remainder. Add10mm outer edge margin. Main spoilboard finished thickness must match CAD, actual raw thickness to be checked.</x:v>
      </x:c>
      <x:c r="I5" s="2"/>
      <x:c r="J5" s="2"/>
      <x:c r="K5" s="2"/>
    </x:row>
    <x:row r="6" ht="116" customHeight="1">
      <x:c r="A6" s="6" t="str">
        <x:v>RET-SAND-01</x:v>
      </x:c>
      <x:c r="B6" s="6" t="str">
        <x:v>QUIKRETE Commercial Grade Medium Sand, washed and kiln dried, 50lb bag, Live Oak SKU SANDMEDIUM</x:v>
      </x:c>
      <x:c r="C6" s="6" t="n">
        <x:v>3</x:v>
      </x:c>
      <x:c r="D6" s="13" t="n">
        <x:v>11</x:v>
      </x:c>
      <x:c r="E6" s="6" t="str">
        <x:v>USD</x:v>
      </x:c>
      <x:c r="F6" s="13" t="n">
        <x:f>IF(ISNUMBER(D6),ROUND(C6*D6,2),"")</x:f>
        <x:v>33</x:v>
      </x:c>
      <x:c r="G6" s="6" t="str">
        <x:v>https://liveoaksupply.com/SANDMEDIUM/</x:v>
      </x:c>
      <x:c r="H6" s="6" t="str">
        <x:v>Public product page displays Now $11.00 per50lb bag. Product and QUIKRETE manufacturer page explicitly state kiln dried. Regional counter-purchase candidate at4225 Steve Reynolds Blvd,Norcross GA30093. Page permits adding quantity, but branch-specific stock and pickup reservation unconfirmed. FAQ requires order over$500 for local delivery; this$33 sand order alone does not qualify. No freight or ZIP30510 quote obtained. Three bags =150lb purchased allowance. Final bag count remains dependent on which sealed tube cavities are filled; not a claim that150lb fills every tube in the chassis.</x:v>
      </x:c>
      <x:c r="I6" s="2"/>
      <x:c r="J6" s="2"/>
      <x:c r="K6" s="2"/>
    </x:row>
    <x:row r="7" ht="116" customHeight="1">
      <x:c r="A7" s="6" t="str">
        <x:v>HW-N6</x:v>
      </x:c>
      <x:c r="B7" s="6" t="str">
        <x:v>M5 x 0.8 DIN 934 A2 nuts</x:v>
      </x:c>
      <x:c r="C7" s="6" t="n">
        <x:v>120</x:v>
      </x:c>
      <x:c r="D7" s="14" t="n">
        <x:v>0.031</x:v>
      </x:c>
      <x:c r="E7" s="6" t="str">
        <x:v>USD</x:v>
      </x:c>
      <x:c r="F7" s="13" t="n">
        <x:f>IF(ISNUMBER(D7),ROUND(C7*D7,2),"")</x:f>
        <x:v>3.72</x:v>
      </x:c>
      <x:c r="G7" s="6" t="str">
        <x:v>https://www.nutty.com/m5-x-0-8-hex-nut-a2-stainless-steel-din-934/</x:v>
      </x:c>
      <x:c r="H7" s="6" t="str">
        <x:v>Superseded candidate. Prefer N16 class 8 steel nuts at $1.44/120. Excluded from basket to avoid duplicate nuts.</x:v>
      </x:c>
      <x:c r="I7" s="2"/>
      <x:c r="J7" s="2"/>
      <x:c r="K7" s="2"/>
    </x:row>
    <x:row r="8" ht="116" customHeight="1">
      <x:c r="A8" s="6" t="str">
        <x:v>HW-V1</x:v>
      </x:c>
      <x:c r="B8" s="6" t="str">
        <x:v>POS6 four-pack, two right and two left hand</x:v>
      </x:c>
      <x:c r="C8" s="6" t="n">
        <x:v>2</x:v>
      </x:c>
      <x:c r="D8" s="13" t="n">
        <x:v>19.99</x:v>
      </x:c>
      <x:c r="E8" s="6" t="str">
        <x:v>USD</x:v>
      </x:c>
      <x:c r="F8" s="13" t="n">
        <x:f>IF(ISNUMBER(D8),ROUND(C8*D8,2),"")</x:f>
        <x:v>39.98</x:v>
      </x:c>
      <x:c r="G8" s="6" t="str">
        <x:v>https://vxb.com/products/4-male-rod-end-6mm-pos6-2-right-and-2-left-ha</x:v>
      </x:c>
      <x:c r="H8" s="6" t="str">
        <x:v>REDESIGN REQUIRED: ball width 9 versus SKF 6; frozen clevis gap 7. Excluded from current-design cash basket.</x:v>
      </x:c>
      <x:c r="I8" s="2"/>
      <x:c r="J8" s="2"/>
      <x:c r="K8" s="2"/>
    </x:row>
    <x:row r="9" ht="116" customHeight="1">
      <x:c r="A9" s="6" t="str">
        <x:v>HW-D1</x:v>
      </x:c>
      <x:c r="B9" s="6" t="str">
        <x:v>65–69 mm dust shoe, 38 mm hose port</x:v>
      </x:c>
      <x:c r="C9" s="6" t="n">
        <x:v>1</x:v>
      </x:c>
      <x:c r="D9" s="13" t="n">
        <x:v>39.99</x:v>
      </x:c>
      <x:c r="E9" s="6" t="str">
        <x:v>USD</x:v>
      </x:c>
      <x:c r="F9" s="13" t="n">
        <x:f>IF(ISNUMBER(D9),ROUND(C9*D9,2),"")</x:f>
        <x:v>39.99</x:v>
      </x:c>
      <x:c r="G9" s="6" t="str">
        <x:v>https://www.sainsmart.com/products/genmitsu-cnc-dust-shoe-for-proverxl-4030</x:v>
      </x:c>
      <x:c r="H9" s="6" t="str">
        <x:v>Spindle diameter match. Brush/tool extension and bed clearance need mounted check. Hose excluded.</x:v>
      </x:c>
      <x:c r="I9" s="2"/>
      <x:c r="J9" s="2"/>
      <x:c r="K9" s="2"/>
    </x:row>
    <x:row r="10" ht="116" customHeight="1">
      <x:c r="A10" s="6" t="str">
        <x:v>HW-D2</x:v>
      </x:c>
      <x:c r="B10" s="6" t="str">
        <x:v>Passive wired touch plate</x:v>
      </x:c>
      <x:c r="C10" s="6" t="n">
        <x:v>1</x:v>
      </x:c>
      <x:c r="D10" s="13" t="n">
        <x:v>8.99</x:v>
      </x:c>
      <x:c r="E10" s="6" t="str">
        <x:v>USD</x:v>
      </x:c>
      <x:c r="F10" s="13" t="n">
        <x:f>IF(ISNUMBER(D10),ROUND(C10*D10,2),"")</x:f>
        <x:v>8.99</x:v>
      </x:c>
      <x:c r="G10" s="6" t="str">
        <x:v>https://www.sainsmart.com/products/sainsmart-cnc-router-z-axis-tool-setting-touch-probe</x:v>
      </x:c>
      <x:c r="H10" s="6" t="str">
        <x:v>Simple plate option; confirm isolation and input wiring in control design. Measure actual plate thickness.</x:v>
      </x:c>
      <x:c r="I10" s="2"/>
      <x:c r="J10" s="2"/>
      <x:c r="K10" s="2"/>
    </x:row>
    <x:row r="11" ht="116" customHeight="1">
      <x:c r="A11" s="6" t="str">
        <x:v>HW-C1</x:v>
      </x:c>
      <x:c r="B11" s="6" t="str">
        <x:v>Vulcan E71T-GS 0.030 inch flux wire, 2 lb</x:v>
      </x:c>
      <x:c r="C11" s="6" t="n">
        <x:v>2</x:v>
      </x:c>
      <x:c r="D11" s="13" t="n">
        <x:v>24.99</x:v>
      </x:c>
      <x:c r="E11" s="6" t="str">
        <x:v>USD</x:v>
      </x:c>
      <x:c r="F11" s="13" t="n">
        <x:f>IF(ISNUMBER(D11),ROUND(C11*D11,2),"")</x:f>
        <x:v>49.98</x:v>
      </x:c>
      <x:c r="G11" s="6" t="str">
        <x:v>https://www.harborfreight.com/0030-in-e71t-gs-flux-core-welding-wire-2-lb-roll-63496.html</x:v>
      </x:c>
      <x:c r="H11" s="6" t="str">
        <x:v>Planning quantity only if owner welder/process supports this wire. Main pan/reservoir are 0.120 inch carbon steel. Four pounds is not a demonstrated weld-consumption total; small stainless accessories may need separate joining consumables.</x:v>
      </x:c>
      <x:c r="I11" s="2"/>
      <x:c r="J11" s="2"/>
      <x:c r="K11" s="2"/>
    </x:row>
    <x:row r="12" ht="116" customHeight="1">
      <x:c r="A12" s="6" t="str">
        <x:v>HW-C2</x:v>
      </x:c>
      <x:c r="B12" s="6" t="str">
        <x:v>Bauer 4.5 x 1/16 x 7/8 inch type 01 metal cutoff wheel ten-pack</x:v>
      </x:c>
      <x:c r="C12" s="6" t="n">
        <x:v>2</x:v>
      </x:c>
      <x:c r="D12" s="13" t="n">
        <x:v>8.99</x:v>
      </x:c>
      <x:c r="E12" s="6" t="str">
        <x:v>USD</x:v>
      </x:c>
      <x:c r="F12" s="13" t="n">
        <x:f>IF(ISNUMBER(D12),ROUND(C12*D12,2),"")</x:f>
        <x:v>17.98</x:v>
      </x:c>
      <x:c r="G12" s="6" t="str">
        <x:v>https://www.harborfreight.com/power-tools/grinding-cutting-wheels/cut-off-wheels/4-1-2-in.html</x:v>
      </x:c>
      <x:c r="H12" s="6" t="str">
        <x:v>Planning quantity; match grinder/arbor/speed. Any required joining/abrasives for small stainless accessories are additional; main pan is carbon steel.</x:v>
      </x:c>
      <x:c r="I12" s="2"/>
      <x:c r="J12" s="2"/>
      <x:c r="K12" s="2"/>
    </x:row>
    <x:row r="13" ht="116" customHeight="1">
      <x:c r="A13" s="6" t="str">
        <x:v>HW-C3</x:v>
      </x:c>
      <x:c r="B13" s="6" t="str">
        <x:v>Rust-Oleum Clean Metal Primer one quart</x:v>
      </x:c>
      <x:c r="C13" s="6" t="n">
        <x:v>1</x:v>
      </x:c>
      <x:c r="D13" s="13" t="n">
        <x:v>17.48</x:v>
      </x:c>
      <x:c r="E13" s="6" t="str">
        <x:v>USD</x:v>
      </x:c>
      <x:c r="F13" s="13" t="n">
        <x:f>IF(ISNUMBER(D13),ROUND(C13*D13,2),"")</x:f>
        <x:v>17.48</x:v>
      </x:c>
      <x:c r="G13" s="6" t="str">
        <x:v>https://www.homedepot.com/b/Paint-Primers/Rust-Oleum-Stops-Rust/1-Quart/Metal/N-5yc1vZbt0tZblwZ1z0o7guZ1z1dqtd</x:v>
      </x:c>
      <x:c r="H13" s="6" t="str">
        <x:v>Bare cleaned steel exterior; coverage quantity remains allowance until exterior area is reconciled. No coating on rail datums or bonding points.</x:v>
      </x:c>
      <x:c r="I13" s="2"/>
      <x:c r="J13" s="2"/>
      <x:c r="K13" s="2"/>
    </x:row>
    <x:row r="14" ht="116" customHeight="1">
      <x:c r="A14" s="6" t="str">
        <x:v>HW-C4</x:v>
      </x:c>
      <x:c r="B14" s="6" t="str">
        <x:v>Rust-Oleum Gloss Smoke Gray one quart</x:v>
      </x:c>
      <x:c r="C14" s="6" t="n">
        <x:v>2</x:v>
      </x:c>
      <x:c r="D14" s="13" t="n">
        <x:v>17.48</x:v>
      </x:c>
      <x:c r="E14" s="6" t="str">
        <x:v>USD</x:v>
      </x:c>
      <x:c r="F14" s="13" t="n">
        <x:f>IF(ISNUMBER(D14),ROUND(C14*D14,2),"")</x:f>
        <x:v>34.96</x:v>
      </x:c>
      <x:c r="G14" s="6" t="str">
        <x:v>https://www.homedepot.com/p/100196872</x:v>
      </x:c>
      <x:c r="H14" s="6" t="str">
        <x:v>Lower-cost brush/roller finish candidate; smoke gray differs from graphite rendering. Local price/stock and delivery unconfirmed.</x:v>
      </x:c>
      <x:c r="I14" s="2"/>
      <x:c r="J14" s="2"/>
      <x:c r="K14" s="2"/>
    </x:row>
    <x:row r="15" ht="116" customHeight="1">
      <x:c r="A15" s="6" t="str">
        <x:v>HW-FM2</x:v>
      </x:c>
      <x:c r="B15" s="6" t="str">
        <x:v>M5 x 0.8 x 25 DIN913 flat-point set screw, class 45H</x:v>
      </x:c>
      <x:c r="C15" s="6" t="n">
        <x:v>1</x:v>
      </x:c>
      <x:c r="D15" s="13" t="n">
        <x:v>13.82</x:v>
      </x:c>
      <x:c r="E15" s="6" t="str">
        <x:v>USD</x:v>
      </x:c>
      <x:c r="F15" s="13" t="n">
        <x:f>IF(ISNUMBER(D15),ROUND(C15*D15,2),"")</x:f>
        <x:v>13.82</x:v>
      </x:c>
      <x:c r="G15" s="6" t="str">
        <x:v>https://www.fastenermart.com/SGA618-615.html</x:v>
      </x:c>
      <x:c r="H15" s="6" t="str">
        <x:v>DIMENSIONAL CANDIDATE ONLY. Supplier DIN913 page restricts these screws to compression, not tensile loading. Bed retaining studs carry clamp tension: do not adopt this as a qualified retaining stud without a separately rated stud design.</x:v>
      </x:c>
      <x:c r="I15" s="2"/>
      <x:c r="J15" s="2"/>
      <x:c r="K15" s="2"/>
    </x:row>
    <x:row r="16" ht="116" customHeight="1">
      <x:c r="A16" s="6" t="str">
        <x:v>OWN-AL-12</x:v>
      </x:c>
      <x:c r="B16" s="6" t="str">
        <x:v>Owner aluminum: one 12 x 12 x 1/2 in plate and one 12 x 12 x 3/8 in plate (quantity assumed)</x:v>
      </x:c>
      <x:c r="C16" s="6" t="n">
        <x:v>2</x:v>
      </x:c>
      <x:c r="D16" s="13" t="n">
        <x:v>0</x:v>
      </x:c>
      <x:c r="E16" s="6" t="str">
        <x:v>USD</x:v>
      </x:c>
      <x:c r="F16" s="13" t="n">
        <x:f>IF(ISNUMBER(D16),ROUND(C16*D16,2),"")</x:f>
        <x:v>0</x:v>
      </x:c>
      <x:c r="G16" s="6" t="str">
        <x:v>User-reported stock, 24 September 2026</x:v>
      </x:c>
      <x:c r="H16" s="6" t="str">
        <x:v>Acquisition cost $0 for existing pieces. Alloy and usable finished thickness unverified. The 1/2 in plate can replace MET08 Z-carrier stock, conditionally avoiding $58.74; MET08 remains in current subtotal until qualified. Other small parts fit but already use paid-stock offcuts, so no extra saving. The 3/8 in plate is unallocated; no redesign saving assumed. See OWNED-ALUMINUM-FIT.md.</x:v>
      </x:c>
      <x:c r="I16" s="2"/>
      <x:c r="J16" s="2"/>
      <x:c r="K16" s="2"/>
    </x:row>
    <x:row r="17" ht="116" customHeight="1">
      <x:c r="A17" s="6" t="str">
        <x:v>CA-11</x:v>
      </x:c>
      <x:c r="B17" s="6" t="str">
        <x:v>CNC4PC C41S isolated PWM-to-0–10 V spindle board</x:v>
      </x:c>
      <x:c r="C17" s="6" t="n">
        <x:v>1</x:v>
      </x:c>
      <x:c r="D17" s="13" t="n">
        <x:v>45.9</x:v>
      </x:c>
      <x:c r="E17" s="6" t="str">
        <x:v>USD</x:v>
      </x:c>
      <x:c r="F17" s="13" t="n">
        <x:f>IF(ISNUMBER(D17),ROUND(C17*D17,2),"")</x:f>
        <x:v>45.9</x:v>
      </x:c>
      <x:c r="G17" s="6" t="str">
        <x:v>https://www.cnc4pc.com/shop/integration-electronics-spindle-control-436/c41s-c41s-pwm-variable-speed-control-board-1044</x:v>
      </x:c>
      <x:c r="H17" s="6" t="str">
        <x:v>Primary manual documents isolated analog and relay outputs, but inputs are 5 V TTL. The present Kraken output is 3.3 V. Needs a fail-off 3.3→5 V buffer, supply and verified 5 kHz PWM operation; not a drop-in released substitute. Board derives run state from PWM; existing separate PG2 run request must still be independently gated through the hardware tool-permission circuit. VFD exact control terminals/parameters and isolation/power layout are unresolved.</x:v>
      </x:c>
      <x:c r="I17" s="2"/>
      <x:c r="J17" s="2"/>
      <x:c r="K17" s="2"/>
    </x:row>
    <x:row r="18" ht="116" customHeight="1">
      <x:c r="A18" s="6" t="str">
        <x:v>CA-12</x:v>
      </x:c>
      <x:c r="B18" s="6" t="str">
        <x:v>Adafruit 1787 74AHCT125 3.3→5 V buffer IC</x:v>
      </x:c>
      <x:c r="C18" s="6" t="n">
        <x:v>1</x:v>
      </x:c>
      <x:c r="D18" s="13" t="n">
        <x:v>1.5</x:v>
      </x:c>
      <x:c r="E18" s="6" t="str">
        <x:v>USD</x:v>
      </x:c>
      <x:c r="F18" s="13" t="n">
        <x:f>IF(ISNUMBER(D18),ROUND(C18*D18,2),"")</x:f>
        <x:v>1.5</x:v>
      </x:c>
      <x:c r="G18" s="6" t="str">
        <x:v>https://www.adafruit.com/product/1787</x:v>
      </x:c>
      <x:c r="H18" s="6" t="str">
        <x:v>Suitable logic-level family for 3.3 V-high detection at 5 V supply; requires an actual circuit. Out of stock; not a purchasable completed interface. PCB, bypassing, pull-downs, output enable defaults and mounting are not included.</x:v>
      </x:c>
      <x:c r="I18" s="2"/>
      <x:c r="J18" s="2"/>
      <x:c r="K18" s="2"/>
    </x:row>
    <x:row r="19" ht="116" customHeight="1">
      <x:c r="A19" s="6" t="str">
        <x:v>CA-19</x:v>
      </x:c>
      <x:c r="B19" s="6" t="str">
        <x:v>PoLabs PlasmaSensCompact standalone UP/DOWN/ARC-OK THC</x:v>
      </x:c>
      <x:c r="C19" s="6" t="n">
        <x:v>1</x:v>
      </x:c>
      <x:c r="D19" s="13" t="n">
        <x:v>148.9</x:v>
      </x:c>
      <x:c r="E19" s="6" t="str">
        <x:v>EUR</x:v>
      </x:c>
      <x:c r="F19" s="13" t="n">
        <x:f>IF(ISNUMBER(D19),ROUND(C19*D19,2),"")</x:f>
        <x:v>148.9</x:v>
      </x:c>
      <x:c r="G19" s="6" t="str">
        <x:v>https://www.poscope.com/product/plasmasenscompact/</x:v>
      </x:c>
      <x:c r="H19" s="6" t="str">
        <x:v>6–36 V power, isolated Arc OK/UP/DOWN outputs; matches firmware function concept. EUR price is not a USD checkout price; no invented exchange conversion. Unknown cutter model, voltage interface, HF-start behavior and torch trigger prevent unconditional compatibility approval. Use documented cutter CNC connections; do not treat pilot-arc torch identity as proof of power-source compatibility.</x:v>
      </x:c>
      <x:c r="I19" s="2"/>
      <x:c r="J19" s="2"/>
      <x:c r="K19" s="2"/>
    </x:row>
    <x:row r="20" ht="116" customHeight="1">
      <x:c r="A20" s="6" t="str">
        <x:v>CA-25</x:v>
      </x:c>
      <x:c r="B20" s="6" t="str">
        <x:v>Finder39.81.0.024.0060 DIN on-delay timers, alternative to AH3-3</x:v>
      </x:c>
      <x:c r="C20" s="6" t="n">
        <x:v>2</x:v>
      </x:c>
      <x:c r="D20" s="13" t="n">
        <x:v>38.59</x:v>
      </x:c>
      <x:c r="E20" s="6" t="str">
        <x:v>USD</x:v>
      </x:c>
      <x:c r="F20" s="13" t="n">
        <x:f>IF(ISNUMBER(D20),ROUND(C20*D20,2),"")</x:f>
        <x:v>77.18</x:v>
      </x:c>
      <x:c r="G20" s="6" t="str">
        <x:v>https://www.digikey.com/en/products/detail/finder-relays-inc/39-81-0-024-0060/10055832</x:v>
      </x:c>
      <x:c r="H20" s="6" t="str">
        <x:v>24 V, one timed SPDT, on-delay mode, ranges include10 s and75 s;6.2 mm width. Primary data https://cdn.findernet.com/app/uploads/S39EN.pdf Not pin-compatible with AH3-3; revise terminal schedule if chosen. Published minimum load500 mW (12 V/10 mA) may be missed when T_CLOSE feeds only an SSR input. A calculated wetting load or lower-minimum-load timer is required. This pair costs$77.18 versus old$20.78; do not book as savings or a fully released substitution.</x:v>
      </x:c>
      <x:c r="I20" s="2"/>
      <x:c r="J20" s="2"/>
      <x:c r="K20" s="2"/>
    </x:row>
    <x:row r="21" ht="116" customHeight="1">
      <x:c r="A21" s="6" t="str">
        <x:v>CA-26</x:v>
      </x:c>
      <x:c r="B21" s="6" t="str">
        <x:v>Parker 801-8-BLU-RL 1/2-inch Push-Lok hose, cut length</x:v>
      </x:c>
      <x:c r="C21" s="6" t="n">
        <x:v>10</x:v>
      </x:c>
      <x:c r="D21" s="13" t="n">
        <x:v>3.98</x:v>
      </x:c>
      <x:c r="E21" s="6" t="str">
        <x:v>USD</x:v>
      </x:c>
      <x:c r="F21" s="13" t="n">
        <x:f>IF(ISNUMBER(D21),ROUND(C21*D21,2),"")</x:f>
        <x:v>39.8</x:v>
      </x:c>
      <x:c r="G21" s="6" t="str">
        <x:v>https://www.wilson-company.com/product/801-8-blu-rl/801-series</x:v>
      </x:c>
      <x:c r="H21" s="6" t="str">
        <x:v>Parker publishes 300 PSI, 28 inHg vacuum, 125 mm minimum bend radius, water temperature limit 85 C, and matching 82-series fittings. Use as one matched set with CA-33/34/35/40. Parker excludes extreme pulsation. Confirm the selected diaphragm pump's pulsation is acceptable or obtain a qualified crimped alternative before adoption. Confirm water-treatment chemical compatibility, actual route length and 125 mm bends. Do not add worm clamps or generic hose barbs to the 82-series Push-Lok connections.</x:v>
      </x:c>
      <x:c r="I21" s="2"/>
      <x:c r="J21" s="2"/>
      <x:c r="K21" s="2"/>
    </x:row>
    <x:row r="22" ht="116" customHeight="1">
      <x:c r="A22" s="6" t="str">
        <x:v>CA-28</x:v>
      </x:c>
      <x:c r="B22" s="6" t="str">
        <x:v>Breeze 63016 all-stainless hose clamps, 10-piece minimum purchase</x:v>
      </x:c>
      <x:c r="C22" s="6" t="n">
        <x:v>10</x:v>
      </x:c>
      <x:c r="D22" s="13" t="n">
        <x:v>1.34</x:v>
      </x:c>
      <x:c r="E22" s="6" t="str">
        <x:v>USD</x:v>
      </x:c>
      <x:c r="F22" s="13" t="n">
        <x:f>IF(ISNUMBER(D22),ROUND(C22*D22,2),"")</x:f>
        <x:v>13.4</x:v>
      </x:c>
      <x:c r="G22" s="6" t="str">
        <x:v>https://www.qualityfarmsupply.com/products/13-16-inch-1-1-2-inch-range-stainless-steel-hose-clamp</x:v>
      </x:c>
      <x:c r="H22" s="6" t="str">
        <x:v>13/16 to 1-1/2-inch range covers the nominal 1.3-inch OD gravity hose. All-stainless band and screw. Allow two for gravity drain retention, eight spare. This reduced clamp count applies only if the matched Parker push-on pump set is adopted; otherwise original small-hose clamps still require selection. Do not fit these over Parker 82-series connections. Confirm barb engagement and installed hose OD before tightening.</x:v>
      </x:c>
      <x:c r="I22" s="2"/>
      <x:c r="J22" s="2"/>
      <x:c r="K22" s="2"/>
    </x:row>
    <x:row r="23" ht="116" customHeight="1">
      <x:c r="A23" s="6" t="str">
        <x:v>CA-33</x:v>
      </x:c>
      <x:c r="B23" s="6" t="str">
        <x:v>Parker 30182-8-8 1/2-inch MNPTF x 1/2-inch Push-Lok fitting, pickup adapter portion</x:v>
      </x:c>
      <x:c r="C23" s="6" t="n">
        <x:v>1</x:v>
      </x:c>
      <x:c r="D23" s="13" t="n">
        <x:v>11.35</x:v>
      </x:c>
      <x:c r="E23" s="6" t="str">
        <x:v>USD</x:v>
      </x:c>
      <x:c r="F23" s="13" t="n">
        <x:f>IF(ISNUMBER(D23),ROUND(C23*D23,2),"")</x:f>
        <x:v>11.35</x:v>
      </x:c>
      <x:c r="G23" s="6" t="str">
        <x:v>https://www.partsgopher.com/product/30182-8-8/82-series-30182</x:v>
      </x:c>
      <x:c r="H23" s="6" t="str">
        <x:v>Catalog 82 series fits Parker 801 hose. Combine with CA-40 female coupling to connect the male pickup pipe; do not substitute a female NPSM swivel. Adoption depends on CA-26 hose/pump confirmation. Plated-steel fitting water-treatment/corrosion compatibility must be confirmed.</x:v>
      </x:c>
      <x:c r="I23" s="2"/>
      <x:c r="J23" s="2"/>
      <x:c r="K23" s="2"/>
    </x:row>
    <x:row r="24" ht="116" customHeight="1">
      <x:c r="A24" s="6" t="str">
        <x:v>CA-34</x:v>
      </x:c>
      <x:c r="B24" s="6" t="str">
        <x:v>Parker 30182-8-8 1/2-inch MNPTF x 1/2-inch Push-Lok fittings for strainer</x:v>
      </x:c>
      <x:c r="C24" s="6" t="n">
        <x:v>2</x:v>
      </x:c>
      <x:c r="D24" s="13" t="n">
        <x:v>11.35</x:v>
      </x:c>
      <x:c r="E24" s="6" t="str">
        <x:v>USD</x:v>
      </x:c>
      <x:c r="F24" s="13" t="n">
        <x:f>IF(ISNUMBER(D24),ROUND(C24*D24,2),"")</x:f>
        <x:v>22.7</x:v>
      </x:c>
      <x:c r="G24" s="6" t="str">
        <x:v>https://www.partsgopher.com/product/30182-8-8/82-series-30182</x:v>
      </x:c>
      <x:c r="H24" s="6" t="str">
        <x:v>1/2-inch tapered male pipe ends match the selected strainer's 1/2-inch female NPT; 82-series hose ends match 801 hose. Adoption depends on CA-26 hose/pump confirmation. Avoid over-torquing the strainer's plastic ports; follow the strainer installation limit. Plated-steel corrosion compatibility remains to verify.</x:v>
      </x:c>
      <x:c r="I24" s="2"/>
      <x:c r="J24" s="2"/>
      <x:c r="K24" s="2"/>
    </x:row>
    <x:row r="25" ht="116" customHeight="1">
      <x:c r="A25" s="6" t="str">
        <x:v>CA-35</x:v>
      </x:c>
      <x:c r="B25" s="6" t="str">
        <x:v>Parker 30182-6-8 3/8-inch MNPTF x 1/2-inch Push-Lok fittings for pump</x:v>
      </x:c>
      <x:c r="C25" s="6" t="n">
        <x:v>2</x:v>
      </x:c>
      <x:c r="D25" s="13" t="n">
        <x:v>8.49</x:v>
      </x:c>
      <x:c r="E25" s="6" t="str">
        <x:v>USD</x:v>
      </x:c>
      <x:c r="F25" s="13" t="n">
        <x:f>IF(ISNUMBER(D25),ROUND(C25*D25,2),"")</x:f>
        <x:v>16.98</x:v>
      </x:c>
      <x:c r="G25" s="6" t="str">
        <x:v>https://www.partsgopher.com/product/30182-6-8/82-series-30182</x:v>
      </x:c>
      <x:c r="H25" s="6" t="str">
        <x:v>3/8-18 male tapered pipe ends match the selected pump's 3/8-18 female NPT ports; 82 series matches 801 hose. Adoption depends on CA-26 pulsation, chemical and bend-radius checks. Follow pump port tightening limits; not interchangeable with G3/8 BSP.</x:v>
      </x:c>
      <x:c r="I25" s="2"/>
      <x:c r="J25" s="2"/>
      <x:c r="K25" s="2"/>
    </x:row>
    <x:row r="26" ht="116" customHeight="1">
      <x:c r="A26" s="6" t="str">
        <x:v>CA-40</x:v>
      </x:c>
      <x:c r="B26" s="6" t="str">
        <x:v>Pro Flow CP050-M-304 1/2-inch FNPT coupling for pickup</x:v>
      </x:c>
      <x:c r="C26" s="6" t="n">
        <x:v>1</x:v>
      </x:c>
      <x:c r="D26" s="13" t="n">
        <x:v>2.74</x:v>
      </x:c>
      <x:c r="E26" s="6" t="str">
        <x:v>USD</x:v>
      </x:c>
      <x:c r="F26" s="13" t="n">
        <x:f>IF(ISNUMBER(D26),ROUND(C26*D26,2),"")</x:f>
        <x:v>2.74</x:v>
      </x:c>
      <x:c r="G26" s="6" t="str">
        <x:v>https://www.proflow-dynamics.com/pipe-couplings.html</x:v>
      </x:c>
      <x:c r="H26" s="6" t="str">
        <x:v>Female NPT both ends joins the male pickup pipe to CA-33 male adapter. Only used with the matched Parker option. Adoption depends on CA-26; verify support and extra adapter length.</x:v>
      </x:c>
      <x:c r="I26" s="2"/>
      <x:c r="J26" s="2"/>
      <x:c r="K26" s="2"/>
    </x:row>
    <x:row r="27" ht="116" customHeight="1">
      <x:c r="A27" s="6" t="str">
        <x:v>TUBE-ALT-1</x:v>
      </x:c>
      <x:c r="B27" s="6" t="str">
        <x:v>Bobco Metals: 2 x 2 x .120 inch ASTM A500 Grade B, 20 ft</x:v>
      </x:c>
      <x:c r="C27" s="6" t="n">
        <x:v>6</x:v>
      </x:c>
      <x:c r="D27" s="13" t="n">
        <x:v>97.5</x:v>
      </x:c>
      <x:c r="E27" s="6" t="str">
        <x:v>USD</x:v>
      </x:c>
      <x:c r="F27" s="13" t="n">
        <x:f>IF(ISNUMBER(D27),ROUND(C27*D27,2),"")</x:f>
        <x:v>585</x:v>
      </x:c>
      <x:c r="G27" s="6" t="str">
        <x:v>https://www.bobcometal.com/hot-rolled-steel-square-tube-2-inch-x-0-12.html</x:v>
      </x:c>
      <x:c r="H27" s="6" t="str">
        <x:v>Product page advertises in stock for Los Angeles pickup; six-stick inventory not confirmed. Exact-spec goods-price benchmark. FAQ $75 local truck delivery within 30 miles is not Georgia freight. Generic parcel shipping statements not applied to full lengths. Delivery to 30510 is unquoted. Existing $930.90 tube reference is not a lowest-price buying recommendation; no delivered saving adopted.</x:v>
      </x:c>
      <x:c r="I27" s="2"/>
      <x:c r="J27" s="2"/>
      <x:c r="K27" s="2"/>
    </x:row>
    <x:row r="28" ht="116" customHeight="1">
      <x:c r="A28" s="6" t="str">
        <x:v>TUBE-ALT-2</x:v>
      </x:c>
      <x:c r="B28" s="6" t="str">
        <x:v>Looper's Metal Works: 2 x 2 inch, 11 gauge, 20 ft; A500 and decimal wall not published</x:v>
      </x:c>
      <x:c r="C28" s="6" t="n">
        <x:v>6</x:v>
      </x:c>
      <x:c r="D28" s="13" t="n">
        <x:v>82.4</x:v>
      </x:c>
      <x:c r="E28" s="6" t="str">
        <x:v>USD</x:v>
      </x:c>
      <x:c r="F28" s="13" t="n">
        <x:f>IF(ISNUMBER(D28),ROUND(C28*D28,2),"")</x:f>
        <x:v>494.4</x:v>
      </x:c>
      <x:c r="G28" s="6" t="str">
        <x:v>https://www.loopersmetalworks.com/metal-products/</x:v>
      </x:c>
      <x:c r="H28" s="6" t="str">
        <x:v>Call for availability; prices apply to quantity on hand. Fairland OK, northeast Oklahoma/Joplin service area. Confirm A500/.120 and Georgia freight. Not adopted. Delivery to 30510 is unquoted. Existing $930.90 tube reference is not a lowest-price buying recommendation; no delivered saving adopted.</x:v>
      </x:c>
      <x:c r="I28" s="2"/>
      <x:c r="J28" s="2"/>
      <x:c r="K28" s="2"/>
    </x:row>
    <x:row r="29" ht="116" customHeight="1">
      <x:c r="A29" s="6" t="str">
        <x:v>TUBE-ALT-3</x:v>
      </x:c>
      <x:c r="B29" s="6" t="str">
        <x:v>YAGI Pipe and Steel / McKee's Discount Steel: 2 x 2 inch, 11 gauge, 20 ft; grade and decimal wall not published</x:v>
      </x:c>
      <x:c r="C29" s="6" t="n">
        <x:v>6</x:v>
      </x:c>
      <x:c r="D29" s="13" t="n">
        <x:v>66.28</x:v>
      </x:c>
      <x:c r="E29" s="6" t="str">
        <x:v>USD</x:v>
      </x:c>
      <x:c r="F29" s="13" t="n">
        <x:f>IF(ISNUMBER(D29),ROUND(C29*D29,2),"")</x:f>
        <x:v>397.68</x:v>
      </x:c>
      <x:c r="G29" s="6" t="str">
        <x:v>https://yagipipeandsteel.com/products/2in-x-11ga-x-20ft-square-tube</x:v>
      </x:c>
      <x:c r="H29" s="6" t="str">
        <x:v>Sold out / unavailable in retrieved product page. Texas pickup; freight by quote. Price lead only, not an available procurement basis. Delivery to 30510 is unquoted. Existing $930.90 tube reference is not a lowest-price buying recommendation; no delivered saving adopted.</x:v>
      </x:c>
      <x:c r="I29" s="2"/>
      <x:c r="J29" s="2"/>
      <x:c r="K29" s="2"/>
    </x:row>
    <x:row r="30" ht="116" customHeight="1">
      <x:c r="A30" s="6" t="str">
        <x:v>FB-SYLVANIA</x:v>
      </x:c>
      <x:c r="B30" s="6" t="str">
        <x:v>Marketplace Sylvania: 2 x 2 x 24 ft tube, seller describes 1/8 in wall</x:v>
      </x:c>
      <x:c r="C30" s="6" t="n">
        <x:v>5</x:v>
      </x:c>
      <x:c r="D30" s="13" t="n">
        <x:v>115</x:v>
      </x:c>
      <x:c r="E30" s="6" t="str">
        <x:v>USD</x:v>
      </x:c>
      <x:c r="F30" s="13" t="n">
        <x:f>IF(ISNUMBER(D30),ROUND(C30*D30,2),"")</x:f>
        <x:v>575</x:v>
      </x:c>
      <x:c r="G30" s="6" t="str">
        <x:v>https://www.facebook.com/marketplace/item/1367277908682890/</x:v>
      </x:c>
      <x:c r="H30" s="6" t="str">
        <x:v>Seller advertises $115 each and 28 available; pickup in Sylvania GA. Alternate cut plan fits all 36 blanks in five bars with 3mm kerfs and 10mm total trim/bar, minimum offcut73mm. $355.90 goods difference from retail reference. Grade, actual wall (.120 versus nominal1/8), rust/coating, straightness, quantity and collection cost unverified. Conditional option only; no adopted savings.</x:v>
      </x:c>
      <x:c r="I30" s="2"/>
      <x:c r="J30" s="2"/>
      <x:c r="K30" s="2"/>
    </x:row>
    <x:row r="31">
      <x:c r="A31" s="2"/>
      <x:c r="B31" s="2"/>
      <x:c r="C31" s="2"/>
      <x:c r="D31" s="2"/>
      <x:c r="E31" s="2"/>
      <x:c r="F31" s="2"/>
      <x:c r="G31" s="2"/>
      <x:c r="H31" s="2"/>
      <x:c r="I31" s="2"/>
      <x:c r="J31" s="2"/>
      <x:c r="K31" s="2"/>
    </x:row>
    <x:row r="32">
      <x:c r="A32" s="2"/>
      <x:c r="B32" s="2"/>
      <x:c r="C32" s="2"/>
      <x:c r="D32" s="2"/>
      <x:c r="E32" s="2"/>
      <x:c r="F32" s="2"/>
      <x:c r="G32" s="2"/>
      <x:c r="H32" s="2"/>
      <x:c r="I32" s="2"/>
      <x:c r="J32" s="2"/>
      <x:c r="K32" s="2"/>
    </x:row>
    <x:row r="33">
      <x:c r="A33" s="2"/>
      <x:c r="B33" s="2"/>
      <x:c r="C33" s="2"/>
      <x:c r="D33" s="2"/>
      <x:c r="E33" s="2"/>
      <x:c r="F33" s="2"/>
      <x:c r="G33" s="2"/>
      <x:c r="H33" s="2"/>
      <x:c r="I33" s="2"/>
      <x:c r="J33" s="2"/>
      <x:c r="K33" s="2"/>
    </x:row>
    <x:row r="34">
      <x:c r="A34" s="2"/>
      <x:c r="B34" s="2"/>
      <x:c r="C34" s="2"/>
      <x:c r="D34" s="2"/>
      <x:c r="E34" s="2"/>
      <x:c r="F34" s="2"/>
      <x:c r="G34" s="2"/>
      <x:c r="H34" s="2"/>
      <x:c r="I34" s="2"/>
      <x:c r="J34" s="2"/>
      <x:c r="K34" s="2"/>
    </x:row>
    <x:row r="35">
      <x:c r="A35" s="2"/>
      <x:c r="B35" s="2"/>
      <x:c r="C35" s="2"/>
      <x:c r="D35" s="2"/>
      <x:c r="E35" s="2"/>
      <x:c r="F35" s="2"/>
      <x:c r="G35" s="2"/>
      <x:c r="H35" s="2"/>
      <x:c r="I35" s="2"/>
      <x:c r="J35" s="2"/>
      <x:c r="K35" s="2"/>
    </x:row>
    <x:row r="36">
      <x:c r="A36" s="2"/>
      <x:c r="B36" s="2"/>
      <x:c r="C36" s="2"/>
      <x:c r="D36" s="2"/>
      <x:c r="E36" s="2"/>
      <x:c r="F36" s="2"/>
      <x:c r="G36" s="2"/>
      <x:c r="H36" s="2"/>
      <x:c r="I36" s="2"/>
      <x:c r="J36" s="2"/>
      <x:c r="K36" s="2"/>
    </x:row>
    <x:row r="37">
      <x:c r="A37" s="2"/>
      <x:c r="B37" s="2"/>
      <x:c r="C37" s="2"/>
      <x:c r="D37" s="2"/>
      <x:c r="E37" s="2"/>
      <x:c r="F37" s="2"/>
      <x:c r="G37" s="2"/>
      <x:c r="H37" s="2"/>
      <x:c r="I37" s="2"/>
      <x:c r="J37" s="2"/>
      <x:c r="K37" s="2"/>
    </x:row>
    <x:row r="38">
      <x:c r="A38" s="2"/>
      <x:c r="B38" s="2"/>
      <x:c r="C38" s="2"/>
      <x:c r="D38" s="2"/>
      <x:c r="E38" s="2"/>
      <x:c r="F38" s="2"/>
      <x:c r="G38" s="2"/>
      <x:c r="H38" s="2"/>
      <x:c r="I38" s="2"/>
      <x:c r="J38" s="2"/>
      <x:c r="K38" s="2"/>
    </x:row>
    <x:row r="39">
      <x:c r="A39" s="2"/>
      <x:c r="B39" s="2"/>
      <x:c r="C39" s="2"/>
      <x:c r="D39" s="2"/>
      <x:c r="E39" s="2"/>
      <x:c r="F39" s="2"/>
      <x:c r="G39" s="2"/>
      <x:c r="H39" s="2"/>
      <x:c r="I39" s="2"/>
      <x:c r="J39" s="2"/>
      <x:c r="K39" s="2"/>
    </x:row>
    <x:row r="40">
      <x:c r="A40" s="2"/>
      <x:c r="B40" s="2"/>
      <x:c r="C40" s="2"/>
      <x:c r="D40" s="2"/>
      <x:c r="E40" s="2"/>
      <x:c r="F40" s="2"/>
      <x:c r="G40" s="2"/>
      <x:c r="H40" s="2"/>
      <x:c r="I40" s="2"/>
      <x:c r="J40" s="2"/>
      <x:c r="K40" s="2"/>
    </x:row>
    <x:row r="41">
      <x:c r="A41" s="2"/>
      <x:c r="B41" s="2"/>
      <x:c r="C41" s="2"/>
      <x:c r="D41" s="2"/>
      <x:c r="E41" s="2"/>
      <x:c r="F41" s="2"/>
      <x:c r="G41" s="2"/>
      <x:c r="H41" s="2"/>
      <x:c r="I41" s="2"/>
      <x:c r="J41" s="2"/>
      <x:c r="K41" s="2"/>
    </x:row>
    <x:row r="42">
      <x:c r="A42" s="2"/>
      <x:c r="B42" s="2"/>
      <x:c r="C42" s="2"/>
      <x:c r="D42" s="2"/>
      <x:c r="E42" s="2"/>
      <x:c r="F42" s="2"/>
      <x:c r="G42" s="2"/>
      <x:c r="H42" s="2"/>
      <x:c r="I42" s="2"/>
      <x:c r="J42" s="2"/>
      <x:c r="K42" s="2"/>
    </x:row>
    <x:row r="43">
      <x:c r="A43" s="2"/>
      <x:c r="B43" s="2"/>
      <x:c r="C43" s="2"/>
      <x:c r="D43" s="2"/>
      <x:c r="E43" s="2"/>
      <x:c r="F43" s="2"/>
      <x:c r="G43" s="2"/>
      <x:c r="H43" s="2"/>
      <x:c r="I43" s="2"/>
      <x:c r="J43" s="2"/>
      <x:c r="K43" s="2"/>
    </x:row>
    <x:row r="44">
      <x:c r="A44" s="2"/>
      <x:c r="B44" s="2"/>
      <x:c r="C44" s="2"/>
      <x:c r="D44" s="2"/>
      <x:c r="E44" s="2"/>
      <x:c r="F44" s="2"/>
      <x:c r="G44" s="2"/>
      <x:c r="H44" s="2"/>
      <x:c r="I44" s="2"/>
      <x:c r="J44" s="2"/>
      <x:c r="K44" s="2"/>
    </x:row>
    <x:row r="45">
      <x:c r="A45" s="2"/>
      <x:c r="B45" s="2"/>
      <x:c r="C45" s="2"/>
      <x:c r="D45" s="2"/>
      <x:c r="E45" s="2"/>
      <x:c r="F45" s="2"/>
      <x:c r="G45" s="2"/>
      <x:c r="H45" s="2"/>
      <x:c r="I45" s="2"/>
      <x:c r="J45" s="2"/>
      <x:c r="K45" s="2"/>
    </x:row>
    <x:row r="46">
      <x:c r="A46" s="2"/>
      <x:c r="B46" s="2"/>
      <x:c r="C46" s="2"/>
      <x:c r="D46" s="2"/>
      <x:c r="E46" s="2"/>
      <x:c r="F46" s="2"/>
      <x:c r="G46" s="2"/>
      <x:c r="H46" s="2"/>
      <x:c r="I46" s="2"/>
      <x:c r="J46" s="2"/>
      <x:c r="K46" s="2"/>
    </x:row>
    <x:row r="47">
      <x:c r="A47" s="2"/>
      <x:c r="B47" s="2"/>
      <x:c r="C47" s="2"/>
      <x:c r="D47" s="2"/>
      <x:c r="E47" s="2"/>
      <x:c r="F47" s="2"/>
      <x:c r="G47" s="2"/>
      <x:c r="H47" s="2"/>
      <x:c r="I47" s="2"/>
      <x:c r="J47" s="2"/>
      <x:c r="K47" s="2"/>
    </x:row>
    <x:row r="48">
      <x:c r="A48" s="2"/>
      <x:c r="B48" s="2"/>
      <x:c r="C48" s="2"/>
      <x:c r="D48" s="2"/>
      <x:c r="E48" s="2"/>
      <x:c r="F48" s="2"/>
      <x:c r="G48" s="2"/>
      <x:c r="H48" s="2"/>
      <x:c r="I48" s="2"/>
      <x:c r="J48" s="2"/>
      <x:c r="K48" s="2"/>
    </x:row>
    <x:row r="49">
      <x:c r="A49" s="2"/>
      <x:c r="B49" s="2"/>
      <x:c r="C49" s="2"/>
      <x:c r="D49" s="2"/>
      <x:c r="E49" s="2"/>
      <x:c r="F49" s="2"/>
      <x:c r="G49" s="2"/>
      <x:c r="H49" s="2"/>
      <x:c r="I49" s="2"/>
      <x:c r="J49" s="2"/>
      <x:c r="K49" s="2"/>
    </x:row>
    <x:row r="50">
      <x:c r="A50" s="2"/>
      <x:c r="B50" s="2"/>
      <x:c r="C50" s="2"/>
      <x:c r="D50" s="2"/>
      <x:c r="E50" s="2"/>
      <x:c r="F50" s="2"/>
      <x:c r="G50" s="2"/>
      <x:c r="H50" s="2"/>
      <x:c r="I50" s="2"/>
      <x:c r="J50" s="2"/>
      <x:c r="K50" s="2"/>
    </x:row>
    <x:row r="51">
      <x:c r="A51" s="2"/>
      <x:c r="B51" s="2"/>
      <x:c r="C51" s="2"/>
      <x:c r="D51" s="2"/>
      <x:c r="E51" s="2"/>
      <x:c r="F51" s="2"/>
      <x:c r="G51" s="2"/>
      <x:c r="H51" s="2"/>
      <x:c r="I51" s="2"/>
      <x:c r="J51" s="2"/>
      <x:c r="K51" s="2"/>
    </x:row>
    <x:row r="52">
      <x:c r="A52" s="2"/>
      <x:c r="B52" s="2"/>
      <x:c r="C52" s="2"/>
      <x:c r="D52" s="2"/>
      <x:c r="E52" s="2"/>
      <x:c r="F52" s="2"/>
      <x:c r="G52" s="2"/>
      <x:c r="H52" s="2"/>
      <x:c r="I52" s="2"/>
      <x:c r="J52" s="2"/>
      <x:c r="K52" s="2"/>
    </x:row>
    <x:row r="53">
      <x:c r="A53" s="2"/>
      <x:c r="B53" s="2"/>
      <x:c r="C53" s="2"/>
      <x:c r="D53" s="2"/>
      <x:c r="E53" s="2"/>
      <x:c r="F53" s="2"/>
      <x:c r="G53" s="2"/>
      <x:c r="H53" s="2"/>
      <x:c r="I53" s="2"/>
      <x:c r="J53" s="2"/>
      <x:c r="K53" s="2"/>
    </x:row>
    <x:row r="54">
      <x:c r="A54" s="2"/>
      <x:c r="B54" s="2"/>
      <x:c r="C54" s="2"/>
      <x:c r="D54" s="2"/>
      <x:c r="E54" s="2"/>
      <x:c r="F54" s="2"/>
      <x:c r="G54" s="2"/>
      <x:c r="H54" s="2"/>
      <x:c r="I54" s="2"/>
      <x:c r="J54" s="2"/>
      <x:c r="K54" s="2"/>
    </x:row>
    <x:row r="55">
      <x:c r="A55" s="2"/>
      <x:c r="B55" s="2"/>
      <x:c r="C55" s="2"/>
      <x:c r="D55" s="2"/>
      <x:c r="E55" s="2"/>
      <x:c r="F55" s="2"/>
      <x:c r="G55" s="2"/>
      <x:c r="H55" s="2"/>
      <x:c r="I55" s="2"/>
      <x:c r="J55" s="2"/>
      <x:c r="K55" s="2"/>
    </x:row>
    <x:row r="56">
      <x:c r="A56" s="2"/>
      <x:c r="B56" s="2"/>
      <x:c r="C56" s="2"/>
      <x:c r="D56" s="2"/>
      <x:c r="E56" s="2"/>
      <x:c r="F56" s="2"/>
      <x:c r="G56" s="2"/>
      <x:c r="H56" s="2"/>
      <x:c r="I56" s="2"/>
      <x:c r="J56" s="2"/>
      <x:c r="K56" s="2"/>
    </x:row>
    <x:row r="57">
      <x:c r="A57" s="2"/>
      <x:c r="B57" s="2"/>
      <x:c r="C57" s="2"/>
      <x:c r="D57" s="2"/>
      <x:c r="E57" s="2"/>
      <x:c r="F57" s="2"/>
      <x:c r="G57" s="2"/>
      <x:c r="H57" s="2"/>
      <x:c r="I57" s="2"/>
      <x:c r="J57" s="2"/>
      <x:c r="K57" s="2"/>
    </x:row>
    <x:row r="58">
      <x:c r="A58" s="2"/>
      <x:c r="B58" s="2"/>
      <x:c r="C58" s="2"/>
      <x:c r="D58" s="2"/>
      <x:c r="E58" s="2"/>
      <x:c r="F58" s="2"/>
      <x:c r="G58" s="2"/>
      <x:c r="H58" s="2"/>
      <x:c r="I58" s="2"/>
      <x:c r="J58" s="2"/>
      <x:c r="K58" s="2"/>
    </x:row>
    <x:row r="59">
      <x:c r="A59" s="2"/>
      <x:c r="B59" s="2"/>
      <x:c r="C59" s="2"/>
      <x:c r="D59" s="2"/>
      <x:c r="E59" s="2"/>
      <x:c r="F59" s="2"/>
      <x:c r="G59" s="2"/>
      <x:c r="H59" s="2"/>
      <x:c r="I59" s="2"/>
      <x:c r="J59" s="2"/>
      <x:c r="K59" s="2"/>
    </x:row>
    <x:row r="60">
      <x:c r="A60" s="2"/>
      <x:c r="B60" s="2"/>
      <x:c r="C60" s="2"/>
      <x:c r="D60" s="2"/>
      <x:c r="E60" s="2"/>
      <x:c r="F60" s="2"/>
      <x:c r="G60" s="2"/>
      <x:c r="H60" s="2"/>
      <x:c r="I60" s="2"/>
      <x:c r="J60" s="2"/>
      <x:c r="K60" s="2"/>
    </x:row>
    <x:row r="61">
      <x:c r="A61" s="2"/>
      <x:c r="B61" s="2"/>
      <x:c r="C61" s="2"/>
      <x:c r="D61" s="2"/>
      <x:c r="E61" s="2"/>
      <x:c r="F61" s="2"/>
      <x:c r="G61" s="2"/>
      <x:c r="H61" s="2"/>
      <x:c r="I61" s="2"/>
      <x:c r="J61" s="2"/>
      <x:c r="K61" s="2"/>
    </x:row>
    <x:row r="62">
      <x:c r="A62" s="2"/>
      <x:c r="B62" s="2"/>
      <x:c r="C62" s="2"/>
      <x:c r="D62" s="2"/>
      <x:c r="E62" s="2"/>
      <x:c r="F62" s="2"/>
      <x:c r="G62" s="2"/>
      <x:c r="H62" s="2"/>
      <x:c r="I62" s="2"/>
      <x:c r="J62" s="2"/>
      <x:c r="K62" s="2"/>
    </x:row>
    <x:row r="63">
      <x:c r="A63" s="2"/>
      <x:c r="B63" s="2"/>
      <x:c r="C63" s="2"/>
      <x:c r="D63" s="2"/>
      <x:c r="E63" s="2"/>
      <x:c r="F63" s="2"/>
      <x:c r="G63" s="2"/>
      <x:c r="H63" s="2"/>
      <x:c r="I63" s="2"/>
      <x:c r="J63" s="2"/>
      <x:c r="K63" s="2"/>
    </x:row>
    <x:row r="64">
      <x:c r="A64" s="2"/>
      <x:c r="B64" s="2"/>
      <x:c r="C64" s="2"/>
      <x:c r="D64" s="2"/>
      <x:c r="E64" s="2"/>
      <x:c r="F64" s="2"/>
      <x:c r="G64" s="2"/>
      <x:c r="H64" s="2"/>
      <x:c r="I64" s="2"/>
      <x:c r="J64" s="2"/>
      <x:c r="K64" s="2"/>
    </x:row>
    <x:row r="65">
      <x:c r="A65" s="2"/>
      <x:c r="B65" s="2"/>
      <x:c r="C65" s="2"/>
      <x:c r="D65" s="2"/>
      <x:c r="E65" s="2"/>
      <x:c r="F65" s="2"/>
      <x:c r="G65" s="2"/>
      <x:c r="H65" s="2"/>
      <x:c r="I65" s="2"/>
      <x:c r="J65" s="2"/>
      <x:c r="K65" s="2"/>
    </x:row>
    <x:row r="66">
      <x:c r="A66" s="2"/>
      <x:c r="B66" s="2"/>
      <x:c r="C66" s="2"/>
      <x:c r="D66" s="2"/>
      <x:c r="E66" s="2"/>
      <x:c r="F66" s="2"/>
      <x:c r="G66" s="2"/>
      <x:c r="H66" s="2"/>
      <x:c r="I66" s="2"/>
      <x:c r="J66" s="2"/>
      <x:c r="K66" s="2"/>
    </x:row>
    <x:row r="67">
      <x:c r="A67" s="2"/>
      <x:c r="B67" s="2"/>
      <x:c r="C67" s="2"/>
      <x:c r="D67" s="2"/>
      <x:c r="E67" s="2"/>
      <x:c r="F67" s="2"/>
      <x:c r="G67" s="2"/>
      <x:c r="H67" s="2"/>
      <x:c r="I67" s="2"/>
      <x:c r="J67" s="2"/>
      <x:c r="K67" s="2"/>
    </x:row>
    <x:row r="68">
      <x:c r="A68" s="2"/>
      <x:c r="B68" s="2"/>
      <x:c r="C68" s="2"/>
      <x:c r="D68" s="2"/>
      <x:c r="E68" s="2"/>
      <x:c r="F68" s="2"/>
      <x:c r="G68" s="2"/>
      <x:c r="H68" s="2"/>
      <x:c r="I68" s="2"/>
      <x:c r="J68" s="2"/>
      <x:c r="K68" s="2"/>
    </x:row>
    <x:row r="69">
      <x:c r="A69" s="2"/>
      <x:c r="B69" s="2"/>
      <x:c r="C69" s="2"/>
      <x:c r="D69" s="2"/>
      <x:c r="E69" s="2"/>
      <x:c r="F69" s="2"/>
      <x:c r="G69" s="2"/>
      <x:c r="H69" s="2"/>
      <x:c r="I69" s="2"/>
      <x:c r="J69" s="2"/>
      <x:c r="K69" s="2"/>
    </x:row>
    <x:row r="70">
      <x:c r="A70" s="2"/>
      <x:c r="B70" s="2"/>
      <x:c r="C70" s="2"/>
      <x:c r="D70" s="2"/>
      <x:c r="E70" s="2"/>
      <x:c r="F70" s="2"/>
      <x:c r="G70" s="2"/>
      <x:c r="H70" s="2"/>
      <x:c r="I70" s="2"/>
      <x:c r="J70" s="2"/>
      <x:c r="K70" s="2"/>
    </x:row>
    <x:row r="71">
      <x:c r="A71" s="2"/>
      <x:c r="B71" s="2"/>
      <x:c r="C71" s="2"/>
      <x:c r="D71" s="2"/>
      <x:c r="E71" s="2"/>
      <x:c r="F71" s="2"/>
      <x:c r="G71" s="2"/>
      <x:c r="H71" s="2"/>
      <x:c r="I71" s="2"/>
      <x:c r="J71" s="2"/>
      <x:c r="K71" s="2"/>
    </x:row>
    <x:row r="72">
      <x:c r="A72" s="2"/>
      <x:c r="B72" s="2"/>
      <x:c r="C72" s="2"/>
      <x:c r="D72" s="2"/>
      <x:c r="E72" s="2"/>
      <x:c r="F72" s="2"/>
      <x:c r="G72" s="2"/>
      <x:c r="H72" s="2"/>
      <x:c r="I72" s="2"/>
      <x:c r="J72" s="2"/>
      <x:c r="K72" s="2"/>
    </x:row>
    <x:row r="73">
      <x:c r="A73" s="2"/>
      <x:c r="B73" s="2"/>
      <x:c r="C73" s="2"/>
      <x:c r="D73" s="2"/>
      <x:c r="E73" s="2"/>
      <x:c r="F73" s="2"/>
      <x:c r="G73" s="2"/>
      <x:c r="H73" s="2"/>
      <x:c r="I73" s="2"/>
      <x:c r="J73" s="2"/>
      <x:c r="K73" s="2"/>
    </x:row>
    <x:row r="74">
      <x:c r="A74" s="2"/>
      <x:c r="B74" s="2"/>
      <x:c r="C74" s="2"/>
      <x:c r="D74" s="2"/>
      <x:c r="E74" s="2"/>
      <x:c r="F74" s="2"/>
      <x:c r="G74" s="2"/>
      <x:c r="H74" s="2"/>
      <x:c r="I74" s="2"/>
      <x:c r="J74" s="2"/>
      <x:c r="K74" s="2"/>
    </x:row>
    <x:row r="75">
      <x:c r="A75" s="2"/>
      <x:c r="B75" s="2"/>
      <x:c r="C75" s="2"/>
      <x:c r="D75" s="2"/>
      <x:c r="E75" s="2"/>
      <x:c r="F75" s="2"/>
      <x:c r="G75" s="2"/>
      <x:c r="H75" s="2"/>
      <x:c r="I75" s="2"/>
      <x:c r="J75" s="2"/>
      <x:c r="K75" s="2"/>
    </x:row>
    <x:row r="76">
      <x:c r="A76" s="2"/>
      <x:c r="B76" s="2"/>
      <x:c r="C76" s="2"/>
      <x:c r="D76" s="2"/>
      <x:c r="E76" s="2"/>
      <x:c r="F76" s="2"/>
      <x:c r="G76" s="2"/>
      <x:c r="H76" s="2"/>
      <x:c r="I76" s="2"/>
      <x:c r="J76" s="2"/>
      <x:c r="K76" s="2"/>
    </x:row>
    <x:row r="77">
      <x:c r="A77" s="2"/>
      <x:c r="B77" s="2"/>
      <x:c r="C77" s="2"/>
      <x:c r="D77" s="2"/>
      <x:c r="E77" s="2"/>
      <x:c r="F77" s="2"/>
      <x:c r="G77" s="2"/>
      <x:c r="H77" s="2"/>
      <x:c r="I77" s="2"/>
      <x:c r="J77" s="2"/>
      <x:c r="K77" s="2"/>
    </x:row>
    <x:row r="78">
      <x:c r="A78" s="2"/>
      <x:c r="B78" s="2"/>
      <x:c r="C78" s="2"/>
      <x:c r="D78" s="2"/>
      <x:c r="E78" s="2"/>
      <x:c r="F78" s="2"/>
      <x:c r="G78" s="2"/>
      <x:c r="H78" s="2"/>
      <x:c r="I78" s="2"/>
      <x:c r="J78" s="2"/>
      <x:c r="K78" s="2"/>
    </x:row>
    <x:row r="79">
      <x:c r="A79" s="2"/>
      <x:c r="B79" s="2"/>
      <x:c r="C79" s="2"/>
      <x:c r="D79" s="2"/>
      <x:c r="E79" s="2"/>
      <x:c r="F79" s="2"/>
      <x:c r="G79" s="2"/>
      <x:c r="H79" s="2"/>
      <x:c r="I79" s="2"/>
      <x:c r="J79" s="2"/>
      <x:c r="K79" s="2"/>
    </x:row>
    <x:row r="80">
      <x:c r="A80" s="2"/>
      <x:c r="B80" s="2"/>
      <x:c r="C80" s="2"/>
      <x:c r="D80" s="2"/>
      <x:c r="E80" s="2"/>
      <x:c r="F80" s="2"/>
      <x:c r="G80" s="2"/>
      <x:c r="H80" s="2"/>
      <x:c r="I80" s="2"/>
      <x:c r="J80" s="2"/>
      <x:c r="K80" s="2"/>
    </x:row>
    <x:row r="81">
      <x:c r="A81" s="2"/>
      <x:c r="B81" s="2"/>
      <x:c r="C81" s="2"/>
      <x:c r="D81" s="2"/>
      <x:c r="E81" s="2"/>
      <x:c r="F81" s="2"/>
      <x:c r="G81" s="2"/>
      <x:c r="H81" s="2"/>
      <x:c r="I81" s="2"/>
      <x:c r="J81" s="2"/>
      <x:c r="K81" s="2"/>
    </x:row>
    <x:row r="82">
      <x:c r="A82" s="2"/>
      <x:c r="B82" s="2"/>
      <x:c r="C82" s="2"/>
      <x:c r="D82" s="2"/>
      <x:c r="E82" s="2"/>
      <x:c r="F82" s="2"/>
      <x:c r="G82" s="2"/>
      <x:c r="H82" s="2"/>
      <x:c r="I82" s="2"/>
      <x:c r="J82" s="2"/>
      <x:c r="K82" s="2"/>
    </x:row>
    <x:row r="83">
      <x:c r="A83" s="2"/>
      <x:c r="B83" s="2"/>
      <x:c r="C83" s="2"/>
      <x:c r="D83" s="2"/>
      <x:c r="E83" s="2"/>
      <x:c r="F83" s="2"/>
      <x:c r="G83" s="2"/>
      <x:c r="H83" s="2"/>
      <x:c r="I83" s="2"/>
      <x:c r="J83" s="2"/>
      <x:c r="K83" s="2"/>
    </x:row>
    <x:row r="84">
      <x:c r="A84" s="2"/>
      <x:c r="B84" s="2"/>
      <x:c r="C84" s="2"/>
      <x:c r="D84" s="2"/>
      <x:c r="E84" s="2"/>
      <x:c r="F84" s="2"/>
      <x:c r="G84" s="2"/>
      <x:c r="H84" s="2"/>
      <x:c r="I84" s="2"/>
      <x:c r="J84" s="2"/>
      <x:c r="K84" s="2"/>
    </x:row>
    <x:row r="85">
      <x:c r="A85" s="2"/>
      <x:c r="B85" s="2"/>
      <x:c r="C85" s="2"/>
      <x:c r="D85" s="2"/>
      <x:c r="E85" s="2"/>
      <x:c r="F85" s="2"/>
      <x:c r="G85" s="2"/>
      <x:c r="H85" s="2"/>
      <x:c r="I85" s="2"/>
      <x:c r="J85" s="2"/>
      <x:c r="K85" s="2"/>
    </x:row>
    <x:row r="86">
      <x:c r="A86" s="2"/>
      <x:c r="B86" s="2"/>
      <x:c r="C86" s="2"/>
      <x:c r="D86" s="2"/>
      <x:c r="E86" s="2"/>
      <x:c r="F86" s="2"/>
      <x:c r="G86" s="2"/>
      <x:c r="H86" s="2"/>
      <x:c r="I86" s="2"/>
      <x:c r="J86" s="2"/>
      <x:c r="K86" s="2"/>
    </x:row>
    <x:row r="87">
      <x:c r="A87" s="2"/>
      <x:c r="B87" s="2"/>
      <x:c r="C87" s="2"/>
      <x:c r="D87" s="2"/>
      <x:c r="E87" s="2"/>
      <x:c r="F87" s="2"/>
      <x:c r="G87" s="2"/>
      <x:c r="H87" s="2"/>
      <x:c r="I87" s="2"/>
      <x:c r="J87" s="2"/>
      <x:c r="K87" s="2"/>
    </x:row>
    <x:row r="88">
      <x:c r="A88" s="2"/>
      <x:c r="B88" s="2"/>
      <x:c r="C88" s="2"/>
      <x:c r="D88" s="2"/>
      <x:c r="E88" s="2"/>
      <x:c r="F88" s="2"/>
      <x:c r="G88" s="2"/>
      <x:c r="H88" s="2"/>
      <x:c r="I88" s="2"/>
      <x:c r="J88" s="2"/>
      <x:c r="K88" s="2"/>
    </x:row>
    <x:row r="89">
      <x:c r="A89" s="2"/>
      <x:c r="B89" s="2"/>
      <x:c r="C89" s="2"/>
      <x:c r="D89" s="2"/>
      <x:c r="E89" s="2"/>
      <x:c r="F89" s="2"/>
      <x:c r="G89" s="2"/>
      <x:c r="H89" s="2"/>
      <x:c r="I89" s="2"/>
      <x:c r="J89" s="2"/>
      <x:c r="K89" s="2"/>
    </x:row>
    <x:row r="90">
      <x:c r="A90" s="2"/>
      <x:c r="B90" s="2"/>
      <x:c r="C90" s="2"/>
      <x:c r="D90" s="2"/>
      <x:c r="E90" s="2"/>
      <x:c r="F90" s="2"/>
      <x:c r="G90" s="2"/>
      <x:c r="H90" s="2"/>
      <x:c r="I90" s="2"/>
      <x:c r="J90" s="2"/>
      <x:c r="K90" s="2"/>
    </x:row>
    <x:row r="91">
      <x:c r="A91" s="2"/>
      <x:c r="B91" s="2"/>
      <x:c r="C91" s="2"/>
      <x:c r="D91" s="2"/>
      <x:c r="E91" s="2"/>
      <x:c r="F91" s="2"/>
      <x:c r="G91" s="2"/>
      <x:c r="H91" s="2"/>
      <x:c r="I91" s="2"/>
      <x:c r="J91" s="2"/>
      <x:c r="K91" s="2"/>
    </x:row>
    <x:row r="92">
      <x:c r="A92" s="2"/>
      <x:c r="B92" s="2"/>
      <x:c r="C92" s="2"/>
      <x:c r="D92" s="2"/>
      <x:c r="E92" s="2"/>
      <x:c r="F92" s="2"/>
      <x:c r="G92" s="2"/>
      <x:c r="H92" s="2"/>
      <x:c r="I92" s="2"/>
      <x:c r="J92" s="2"/>
      <x:c r="K92" s="2"/>
    </x:row>
    <x:row r="93">
      <x:c r="A93" s="2"/>
      <x:c r="B93" s="2"/>
      <x:c r="C93" s="2"/>
      <x:c r="D93" s="2"/>
      <x:c r="E93" s="2"/>
      <x:c r="F93" s="2"/>
      <x:c r="G93" s="2"/>
      <x:c r="H93" s="2"/>
      <x:c r="I93" s="2"/>
      <x:c r="J93" s="2"/>
      <x:c r="K93" s="2"/>
    </x:row>
    <x:row r="94">
      <x:c r="A94" s="2"/>
      <x:c r="B94" s="2"/>
      <x:c r="C94" s="2"/>
      <x:c r="D94" s="2"/>
      <x:c r="E94" s="2"/>
      <x:c r="F94" s="2"/>
      <x:c r="G94" s="2"/>
      <x:c r="H94" s="2"/>
      <x:c r="I94" s="2"/>
      <x:c r="J94" s="2"/>
      <x:c r="K94" s="2"/>
    </x:row>
    <x:row r="95">
      <x:c r="A95" s="2"/>
      <x:c r="B95" s="2"/>
      <x:c r="C95" s="2"/>
      <x:c r="D95" s="2"/>
      <x:c r="E95" s="2"/>
      <x:c r="F95" s="2"/>
      <x:c r="G95" s="2"/>
      <x:c r="H95" s="2"/>
      <x:c r="I95" s="2"/>
      <x:c r="J95" s="2"/>
      <x:c r="K95" s="2"/>
    </x:row>
    <x:row r="96">
      <x:c r="A96" s="2"/>
      <x:c r="B96" s="2"/>
      <x:c r="C96" s="2"/>
      <x:c r="D96" s="2"/>
      <x:c r="E96" s="2"/>
      <x:c r="F96" s="2"/>
      <x:c r="G96" s="2"/>
      <x:c r="H96" s="2"/>
      <x:c r="I96" s="2"/>
      <x:c r="J96" s="2"/>
      <x:c r="K96" s="2"/>
    </x:row>
    <x:row r="97">
      <x:c r="A97" s="2"/>
      <x:c r="B97" s="2"/>
      <x:c r="C97" s="2"/>
      <x:c r="D97" s="2"/>
      <x:c r="E97" s="2"/>
      <x:c r="F97" s="2"/>
      <x:c r="G97" s="2"/>
      <x:c r="H97" s="2"/>
      <x:c r="I97" s="2"/>
      <x:c r="J97" s="2"/>
      <x:c r="K97" s="2"/>
    </x:row>
    <x:row r="98">
      <x:c r="A98" s="2"/>
      <x:c r="B98" s="2"/>
      <x:c r="C98" s="2"/>
      <x:c r="D98" s="2"/>
      <x:c r="E98" s="2"/>
      <x:c r="F98" s="2"/>
      <x:c r="G98" s="2"/>
      <x:c r="H98" s="2"/>
      <x:c r="I98" s="2"/>
      <x:c r="J98" s="2"/>
      <x:c r="K98" s="2"/>
    </x:row>
    <x:row r="99">
      <x:c r="A99" s="2"/>
      <x:c r="B99" s="2"/>
      <x:c r="C99" s="2"/>
      <x:c r="D99" s="2"/>
      <x:c r="E99" s="2"/>
      <x:c r="F99" s="2"/>
      <x:c r="G99" s="2"/>
      <x:c r="H99" s="2"/>
      <x:c r="I99" s="2"/>
      <x:c r="J99" s="2"/>
      <x:c r="K99" s="2"/>
    </x:row>
    <x:row r="100">
      <x:c r="A100" s="2"/>
      <x:c r="B100" s="2"/>
      <x:c r="C100" s="2"/>
      <x:c r="D100" s="2"/>
      <x:c r="E100" s="2"/>
      <x:c r="F100" s="2"/>
      <x:c r="G100" s="2"/>
      <x:c r="H100" s="2"/>
      <x:c r="I100" s="2"/>
      <x:c r="J100" s="2"/>
      <x:c r="K100" s="2"/>
    </x:row>
    <x:row r="101">
      <x:c r="A101" s="2"/>
      <x:c r="B101" s="2"/>
      <x:c r="C101" s="2"/>
      <x:c r="D101" s="2"/>
      <x:c r="E101" s="2"/>
      <x:c r="F101" s="2"/>
      <x:c r="G101" s="2"/>
      <x:c r="H101" s="2"/>
      <x:c r="I101" s="2"/>
      <x:c r="J101" s="2"/>
      <x:c r="K101" s="2"/>
    </x:row>
    <x:row r="102">
      <x:c r="A102" s="2"/>
      <x:c r="B102" s="2"/>
      <x:c r="C102" s="2"/>
      <x:c r="D102" s="2"/>
      <x:c r="E102" s="2"/>
      <x:c r="F102" s="2"/>
      <x:c r="G102" s="2"/>
      <x:c r="H102" s="2"/>
      <x:c r="I102" s="2"/>
      <x:c r="J102" s="2"/>
      <x:c r="K102" s="2"/>
    </x:row>
    <x:row r="103">
      <x:c r="A103" s="2"/>
      <x:c r="B103" s="2"/>
      <x:c r="C103" s="2"/>
      <x:c r="D103" s="2"/>
      <x:c r="E103" s="2"/>
      <x:c r="F103" s="2"/>
      <x:c r="G103" s="2"/>
      <x:c r="H103" s="2"/>
      <x:c r="I103" s="2"/>
      <x:c r="J103" s="2"/>
      <x:c r="K103" s="2"/>
    </x:row>
    <x:row r="104">
      <x:c r="A104" s="2"/>
      <x:c r="B104" s="2"/>
      <x:c r="C104" s="2"/>
      <x:c r="D104" s="2"/>
      <x:c r="E104" s="2"/>
      <x:c r="F104" s="2"/>
      <x:c r="G104" s="2"/>
      <x:c r="H104" s="2"/>
      <x:c r="I104" s="2"/>
      <x:c r="J104" s="2"/>
      <x:c r="K104" s="2"/>
    </x:row>
    <x:row r="105">
      <x:c r="A105" s="2"/>
      <x:c r="B105" s="2"/>
      <x:c r="C105" s="2"/>
      <x:c r="D105" s="2"/>
      <x:c r="E105" s="2"/>
      <x:c r="F105" s="2"/>
      <x:c r="G105" s="2"/>
      <x:c r="H105" s="2"/>
      <x:c r="I105" s="2"/>
      <x:c r="J105" s="2"/>
      <x:c r="K105" s="2"/>
    </x:row>
    <x:row r="106">
      <x:c r="A106" s="2"/>
      <x:c r="B106" s="2"/>
      <x:c r="C106" s="2"/>
      <x:c r="D106" s="2"/>
      <x:c r="E106" s="2"/>
      <x:c r="F106" s="2"/>
      <x:c r="G106" s="2"/>
      <x:c r="H106" s="2"/>
      <x:c r="I106" s="2"/>
      <x:c r="J106" s="2"/>
      <x:c r="K106" s="2"/>
    </x:row>
    <x:row r="107">
      <x:c r="A107" s="2"/>
      <x:c r="B107" s="2"/>
      <x:c r="C107" s="2"/>
      <x:c r="D107" s="2"/>
      <x:c r="E107" s="2"/>
      <x:c r="F107" s="2"/>
      <x:c r="G107" s="2"/>
      <x:c r="H107" s="2"/>
      <x:c r="I107" s="2"/>
      <x:c r="J107" s="2"/>
      <x:c r="K107" s="2"/>
    </x:row>
    <x:row r="108">
      <x:c r="A108" s="2"/>
      <x:c r="B108" s="2"/>
      <x:c r="C108" s="2"/>
      <x:c r="D108" s="2"/>
      <x:c r="E108" s="2"/>
      <x:c r="F108" s="2"/>
      <x:c r="G108" s="2"/>
      <x:c r="H108" s="2"/>
      <x:c r="I108" s="2"/>
      <x:c r="J108" s="2"/>
      <x:c r="K108" s="2"/>
    </x:row>
    <x:row r="109">
      <x:c r="A109" s="2"/>
      <x:c r="B109" s="2"/>
      <x:c r="C109" s="2"/>
      <x:c r="D109" s="2"/>
      <x:c r="E109" s="2"/>
      <x:c r="F109" s="2"/>
      <x:c r="G109" s="2"/>
      <x:c r="H109" s="2"/>
      <x:c r="I109" s="2"/>
      <x:c r="J109" s="2"/>
      <x:c r="K109" s="2"/>
    </x:row>
    <x:row r="110">
      <x:c r="A110" s="2"/>
      <x:c r="B110" s="2"/>
      <x:c r="C110" s="2"/>
      <x:c r="D110" s="2"/>
      <x:c r="E110" s="2"/>
      <x:c r="F110" s="2"/>
      <x:c r="G110" s="2"/>
      <x:c r="H110" s="2"/>
      <x:c r="I110" s="2"/>
      <x:c r="J110" s="2"/>
      <x:c r="K110" s="2"/>
    </x:row>
    <x:row r="111">
      <x:c r="A111" s="2"/>
      <x:c r="B111" s="2"/>
      <x:c r="C111" s="2"/>
      <x:c r="D111" s="2"/>
      <x:c r="E111" s="2"/>
      <x:c r="F111" s="2"/>
      <x:c r="G111" s="2"/>
      <x:c r="H111" s="2"/>
      <x:c r="I111" s="2"/>
      <x:c r="J111" s="2"/>
      <x:c r="K111" s="2"/>
    </x:row>
    <x:row r="112">
      <x:c r="A112" s="2"/>
      <x:c r="B112" s="2"/>
      <x:c r="C112" s="2"/>
      <x:c r="D112" s="2"/>
      <x:c r="E112" s="2"/>
      <x:c r="F112" s="2"/>
      <x:c r="G112" s="2"/>
      <x:c r="H112" s="2"/>
      <x:c r="I112" s="2"/>
      <x:c r="J112" s="2"/>
      <x:c r="K112" s="2"/>
    </x:row>
    <x:row r="113">
      <x:c r="A113" s="2"/>
      <x:c r="B113" s="2"/>
      <x:c r="C113" s="2"/>
      <x:c r="D113" s="2"/>
      <x:c r="E113" s="2"/>
      <x:c r="F113" s="2"/>
      <x:c r="G113" s="2"/>
      <x:c r="H113" s="2"/>
      <x:c r="I113" s="2"/>
      <x:c r="J113" s="2"/>
      <x:c r="K113" s="2"/>
    </x:row>
    <x:row r="114">
      <x:c r="A114" s="2"/>
      <x:c r="B114" s="2"/>
      <x:c r="C114" s="2"/>
      <x:c r="D114" s="2"/>
      <x:c r="E114" s="2"/>
      <x:c r="F114" s="2"/>
      <x:c r="G114" s="2"/>
      <x:c r="H114" s="2"/>
      <x:c r="I114" s="2"/>
      <x:c r="J114" s="2"/>
      <x:c r="K114" s="2"/>
    </x:row>
    <x:row r="115">
      <x:c r="A115" s="2"/>
      <x:c r="B115" s="2"/>
      <x:c r="C115" s="2"/>
      <x:c r="D115" s="2"/>
      <x:c r="E115" s="2"/>
      <x:c r="F115" s="2"/>
      <x:c r="G115" s="2"/>
      <x:c r="H115" s="2"/>
      <x:c r="I115" s="2"/>
      <x:c r="J115" s="2"/>
      <x:c r="K115" s="2"/>
    </x:row>
    <x:row r="116">
      <x:c r="A116" s="2"/>
      <x:c r="B116" s="2"/>
      <x:c r="C116" s="2"/>
      <x:c r="D116" s="2"/>
      <x:c r="E116" s="2"/>
      <x:c r="F116" s="2"/>
      <x:c r="G116" s="2"/>
      <x:c r="H116" s="2"/>
      <x:c r="I116" s="2"/>
      <x:c r="J116" s="2"/>
      <x:c r="K116" s="2"/>
    </x:row>
    <x:row r="117">
      <x:c r="A117" s="2"/>
      <x:c r="B117" s="2"/>
      <x:c r="C117" s="2"/>
      <x:c r="D117" s="2"/>
      <x:c r="E117" s="2"/>
      <x:c r="F117" s="2"/>
      <x:c r="G117" s="2"/>
      <x:c r="H117" s="2"/>
      <x:c r="I117" s="2"/>
      <x:c r="J117" s="2"/>
      <x:c r="K117" s="2"/>
    </x:row>
    <x:row r="118">
      <x:c r="A118" s="2"/>
      <x:c r="B118" s="2"/>
      <x:c r="C118" s="2"/>
      <x:c r="D118" s="2"/>
      <x:c r="E118" s="2"/>
      <x:c r="F118" s="2"/>
      <x:c r="G118" s="2"/>
      <x:c r="H118" s="2"/>
      <x:c r="I118" s="2"/>
      <x:c r="J118" s="2"/>
      <x:c r="K118" s="2"/>
    </x:row>
    <x:row r="119">
      <x:c r="A119" s="2"/>
      <x:c r="B119" s="2"/>
      <x:c r="C119" s="2"/>
      <x:c r="D119" s="2"/>
      <x:c r="E119" s="2"/>
      <x:c r="F119" s="2"/>
      <x:c r="G119" s="2"/>
      <x:c r="H119" s="2"/>
      <x:c r="I119" s="2"/>
      <x:c r="J119" s="2"/>
      <x:c r="K119" s="2"/>
    </x:row>
    <x:row r="120">
      <x:c r="A120" s="2"/>
      <x:c r="B120" s="2"/>
      <x:c r="C120" s="2"/>
      <x:c r="D120" s="2"/>
      <x:c r="E120" s="2"/>
      <x:c r="F120" s="2"/>
      <x:c r="G120" s="2"/>
      <x:c r="H120" s="2"/>
      <x:c r="I120" s="2"/>
      <x:c r="J120" s="2"/>
      <x:c r="K120" s="2"/>
    </x:row>
    <x:row r="121">
      <x:c r="A121" s="2"/>
      <x:c r="B121" s="2"/>
      <x:c r="C121" s="2"/>
      <x:c r="D121" s="2"/>
      <x:c r="E121" s="2"/>
      <x:c r="F121" s="2"/>
      <x:c r="G121" s="2"/>
      <x:c r="H121" s="2"/>
      <x:c r="I121" s="2"/>
      <x:c r="J121" s="2"/>
      <x:c r="K121" s="2"/>
    </x:row>
    <x:row r="122">
      <x:c r="A122" s="2"/>
      <x:c r="B122" s="2"/>
      <x:c r="C122" s="2"/>
      <x:c r="D122" s="2"/>
      <x:c r="E122" s="2"/>
      <x:c r="F122" s="2"/>
      <x:c r="G122" s="2"/>
      <x:c r="H122" s="2"/>
      <x:c r="I122" s="2"/>
      <x:c r="J122" s="2"/>
      <x:c r="K122" s="2"/>
    </x:row>
    <x:row r="123">
      <x:c r="A123" s="2"/>
      <x:c r="B123" s="2"/>
      <x:c r="C123" s="2"/>
      <x:c r="D123" s="2"/>
      <x:c r="E123" s="2"/>
      <x:c r="F123" s="2"/>
      <x:c r="G123" s="2"/>
      <x:c r="H123" s="2"/>
      <x:c r="I123" s="2"/>
      <x:c r="J123" s="2"/>
      <x:c r="K123" s="2"/>
    </x:row>
    <x:row r="124">
      <x:c r="A124" s="2"/>
      <x:c r="B124" s="2"/>
      <x:c r="C124" s="2"/>
      <x:c r="D124" s="2"/>
      <x:c r="E124" s="2"/>
      <x:c r="F124" s="2"/>
      <x:c r="G124" s="2"/>
      <x:c r="H124" s="2"/>
      <x:c r="I124" s="2"/>
      <x:c r="J124" s="2"/>
      <x:c r="K124" s="2"/>
    </x:row>
    <x:row r="125">
      <x:c r="A125" s="2"/>
      <x:c r="B125" s="2"/>
      <x:c r="C125" s="2"/>
      <x:c r="D125" s="2"/>
      <x:c r="E125" s="2"/>
      <x:c r="F125" s="2"/>
      <x:c r="G125" s="2"/>
      <x:c r="H125" s="2"/>
      <x:c r="I125" s="2"/>
      <x:c r="J125" s="2"/>
      <x:c r="K125" s="2"/>
    </x:row>
    <x:row r="126">
      <x:c r="A126" s="2"/>
      <x:c r="B126" s="2"/>
      <x:c r="C126" s="2"/>
      <x:c r="D126" s="2"/>
      <x:c r="E126" s="2"/>
      <x:c r="F126" s="2"/>
      <x:c r="G126" s="2"/>
      <x:c r="H126" s="2"/>
      <x:c r="I126" s="2"/>
      <x:c r="J126" s="2"/>
      <x:c r="K126" s="2"/>
    </x:row>
    <x:row r="127">
      <x:c r="A127" s="2"/>
      <x:c r="B127" s="2"/>
      <x:c r="C127" s="2"/>
      <x:c r="D127" s="2"/>
      <x:c r="E127" s="2"/>
      <x:c r="F127" s="2"/>
      <x:c r="G127" s="2"/>
      <x:c r="H127" s="2"/>
      <x:c r="I127" s="2"/>
      <x:c r="J127" s="2"/>
      <x:c r="K127" s="2"/>
    </x:row>
    <x:row r="128">
      <x:c r="A128" s="2"/>
      <x:c r="B128" s="2"/>
      <x:c r="C128" s="2"/>
      <x:c r="D128" s="2"/>
      <x:c r="E128" s="2"/>
      <x:c r="F128" s="2"/>
      <x:c r="G128" s="2"/>
      <x:c r="H128" s="2"/>
      <x:c r="I128" s="2"/>
      <x:c r="J128" s="2"/>
      <x:c r="K128" s="2"/>
    </x:row>
    <x:row r="129">
      <x:c r="A129" s="2"/>
      <x:c r="B129" s="2"/>
      <x:c r="C129" s="2"/>
      <x:c r="D129" s="2"/>
      <x:c r="E129" s="2"/>
      <x:c r="F129" s="2"/>
      <x:c r="G129" s="2"/>
      <x:c r="H129" s="2"/>
      <x:c r="I129" s="2"/>
      <x:c r="J129" s="2"/>
      <x:c r="K129" s="2"/>
    </x:row>
    <x:row r="130">
      <x:c r="A130" s="2"/>
      <x:c r="B130" s="2"/>
      <x:c r="C130" s="2"/>
      <x:c r="D130" s="2"/>
      <x:c r="E130" s="2"/>
      <x:c r="F130" s="2"/>
      <x:c r="G130" s="2"/>
      <x:c r="H130" s="2"/>
      <x:c r="I130" s="2"/>
      <x:c r="J130" s="2"/>
      <x:c r="K130" s="2"/>
    </x:row>
    <x:row r="131">
      <x:c r="A131" s="2"/>
      <x:c r="B131" s="2"/>
      <x:c r="C131" s="2"/>
      <x:c r="D131" s="2"/>
      <x:c r="E131" s="2"/>
      <x:c r="F131" s="2"/>
      <x:c r="G131" s="2"/>
      <x:c r="H131" s="2"/>
      <x:c r="I131" s="2"/>
      <x:c r="J131" s="2"/>
      <x:c r="K131" s="2"/>
    </x:row>
    <x:row r="132">
      <x:c r="A132" s="2"/>
      <x:c r="B132" s="2"/>
      <x:c r="C132" s="2"/>
      <x:c r="D132" s="2"/>
      <x:c r="E132" s="2"/>
      <x:c r="F132" s="2"/>
      <x:c r="G132" s="2"/>
      <x:c r="H132" s="2"/>
      <x:c r="I132" s="2"/>
      <x:c r="J132" s="2"/>
      <x:c r="K132" s="2"/>
    </x:row>
    <x:row r="133">
      <x:c r="A133" s="2"/>
      <x:c r="B133" s="2"/>
      <x:c r="C133" s="2"/>
      <x:c r="D133" s="2"/>
      <x:c r="E133" s="2"/>
      <x:c r="F133" s="2"/>
      <x:c r="G133" s="2"/>
      <x:c r="H133" s="2"/>
      <x:c r="I133" s="2"/>
      <x:c r="J133" s="2"/>
      <x:c r="K133" s="2"/>
    </x:row>
    <x:row r="134">
      <x:c r="A134" s="2"/>
      <x:c r="B134" s="2"/>
      <x:c r="C134" s="2"/>
      <x:c r="D134" s="2"/>
      <x:c r="E134" s="2"/>
      <x:c r="F134" s="2"/>
      <x:c r="G134" s="2"/>
      <x:c r="H134" s="2"/>
      <x:c r="I134" s="2"/>
      <x:c r="J134" s="2"/>
      <x:c r="K134" s="2"/>
    </x:row>
    <x:row r="135">
      <x:c r="A135" s="2"/>
      <x:c r="B135" s="2"/>
      <x:c r="C135" s="2"/>
      <x:c r="D135" s="2"/>
      <x:c r="E135" s="2"/>
      <x:c r="F135" s="2"/>
      <x:c r="G135" s="2"/>
      <x:c r="H135" s="2"/>
      <x:c r="I135" s="2"/>
      <x:c r="J135" s="2"/>
      <x:c r="K135" s="2"/>
    </x:row>
    <x:row r="136">
      <x:c r="A136" s="2"/>
      <x:c r="B136" s="2"/>
      <x:c r="C136" s="2"/>
      <x:c r="D136" s="2"/>
      <x:c r="E136" s="2"/>
      <x:c r="F136" s="2"/>
      <x:c r="G136" s="2"/>
      <x:c r="H136" s="2"/>
      <x:c r="I136" s="2"/>
      <x:c r="J136" s="2"/>
      <x:c r="K136" s="2"/>
    </x:row>
    <x:row r="137">
      <x:c r="A137" s="2"/>
      <x:c r="B137" s="2"/>
      <x:c r="C137" s="2"/>
      <x:c r="D137" s="2"/>
      <x:c r="E137" s="2"/>
      <x:c r="F137" s="2"/>
      <x:c r="G137" s="2"/>
      <x:c r="H137" s="2"/>
      <x:c r="I137" s="2"/>
      <x:c r="J137" s="2"/>
      <x:c r="K137" s="2"/>
    </x:row>
    <x:row r="138">
      <x:c r="A138" s="2"/>
      <x:c r="B138" s="2"/>
      <x:c r="C138" s="2"/>
      <x:c r="D138" s="2"/>
      <x:c r="E138" s="2"/>
      <x:c r="F138" s="2"/>
      <x:c r="G138" s="2"/>
      <x:c r="H138" s="2"/>
      <x:c r="I138" s="2"/>
      <x:c r="J138" s="2"/>
      <x:c r="K138" s="2"/>
    </x:row>
    <x:row r="139">
      <x:c r="A139" s="2"/>
      <x:c r="B139" s="2"/>
      <x:c r="C139" s="2"/>
      <x:c r="D139" s="2"/>
      <x:c r="E139" s="2"/>
      <x:c r="F139" s="2"/>
      <x:c r="G139" s="2"/>
      <x:c r="H139" s="2"/>
      <x:c r="I139" s="2"/>
      <x:c r="J139" s="2"/>
      <x:c r="K139" s="2"/>
    </x:row>
    <x:row r="140">
      <x:c r="A140" s="2"/>
      <x:c r="B140" s="2"/>
      <x:c r="C140" s="2"/>
      <x:c r="D140" s="2"/>
      <x:c r="E140" s="2"/>
      <x:c r="F140" s="2"/>
      <x:c r="G140" s="2"/>
      <x:c r="H140" s="2"/>
      <x:c r="I140" s="2"/>
      <x:c r="J140" s="2"/>
      <x:c r="K140" s="2"/>
    </x:row>
    <x:row r="141">
      <x:c r="A141" s="2"/>
      <x:c r="B141" s="2"/>
      <x:c r="C141" s="2"/>
      <x:c r="D141" s="2"/>
      <x:c r="E141" s="2"/>
      <x:c r="F141" s="2"/>
      <x:c r="G141" s="2"/>
      <x:c r="H141" s="2"/>
      <x:c r="I141" s="2"/>
      <x:c r="J141" s="2"/>
      <x:c r="K141" s="2"/>
    </x:row>
    <x:row r="142">
      <x:c r="A142" s="2"/>
      <x:c r="B142" s="2"/>
      <x:c r="C142" s="2"/>
      <x:c r="D142" s="2"/>
      <x:c r="E142" s="2"/>
      <x:c r="F142" s="2"/>
      <x:c r="G142" s="2"/>
      <x:c r="H142" s="2"/>
      <x:c r="I142" s="2"/>
      <x:c r="J142" s="2"/>
      <x:c r="K142" s="2"/>
    </x:row>
    <x:row r="143">
      <x:c r="A143" s="2"/>
      <x:c r="B143" s="2"/>
      <x:c r="C143" s="2"/>
      <x:c r="D143" s="2"/>
      <x:c r="E143" s="2"/>
      <x:c r="F143" s="2"/>
      <x:c r="G143" s="2"/>
      <x:c r="H143" s="2"/>
      <x:c r="I143" s="2"/>
      <x:c r="J143" s="2"/>
      <x:c r="K143" s="2"/>
    </x:row>
    <x:row r="144">
      <x:c r="A144" s="2"/>
      <x:c r="B144" s="2"/>
      <x:c r="C144" s="2"/>
      <x:c r="D144" s="2"/>
      <x:c r="E144" s="2"/>
      <x:c r="F144" s="2"/>
      <x:c r="G144" s="2"/>
      <x:c r="H144" s="2"/>
      <x:c r="I144" s="2"/>
      <x:c r="J144" s="2"/>
      <x:c r="K144" s="2"/>
    </x:row>
    <x:row r="145">
      <x:c r="A145" s="2"/>
      <x:c r="B145" s="2"/>
      <x:c r="C145" s="2"/>
      <x:c r="D145" s="2"/>
      <x:c r="E145" s="2"/>
      <x:c r="F145" s="2"/>
      <x:c r="G145" s="2"/>
      <x:c r="H145" s="2"/>
      <x:c r="I145" s="2"/>
      <x:c r="J145" s="2"/>
      <x:c r="K145" s="2"/>
    </x:row>
    <x:row r="146">
      <x:c r="A146" s="2"/>
      <x:c r="B146" s="2"/>
      <x:c r="C146" s="2"/>
      <x:c r="D146" s="2"/>
      <x:c r="E146" s="2"/>
      <x:c r="F146" s="2"/>
      <x:c r="G146" s="2"/>
      <x:c r="H146" s="2"/>
      <x:c r="I146" s="2"/>
      <x:c r="J146" s="2"/>
      <x:c r="K146" s="2"/>
    </x:row>
    <x:row r="147">
      <x:c r="A147" s="2"/>
      <x:c r="B147" s="2"/>
      <x:c r="C147" s="2"/>
      <x:c r="D147" s="2"/>
      <x:c r="E147" s="2"/>
      <x:c r="F147" s="2"/>
      <x:c r="G147" s="2"/>
      <x:c r="H147" s="2"/>
      <x:c r="I147" s="2"/>
      <x:c r="J147" s="2"/>
      <x:c r="K147" s="2"/>
    </x:row>
    <x:row r="148">
      <x:c r="A148" s="2"/>
      <x:c r="B148" s="2"/>
      <x:c r="C148" s="2"/>
      <x:c r="D148" s="2"/>
      <x:c r="E148" s="2"/>
      <x:c r="F148" s="2"/>
      <x:c r="G148" s="2"/>
      <x:c r="H148" s="2"/>
      <x:c r="I148" s="2"/>
      <x:c r="J148" s="2"/>
      <x:c r="K148" s="2"/>
    </x:row>
    <x:row r="149">
      <x:c r="A149" s="2"/>
      <x:c r="B149" s="2"/>
      <x:c r="C149" s="2"/>
      <x:c r="D149" s="2"/>
      <x:c r="E149" s="2"/>
      <x:c r="F149" s="2"/>
      <x:c r="G149" s="2"/>
      <x:c r="H149" s="2"/>
      <x:c r="I149" s="2"/>
      <x:c r="J149" s="2"/>
      <x:c r="K149" s="2"/>
    </x:row>
    <x:row r="150">
      <x:c r="A150" s="2"/>
      <x:c r="B150" s="2"/>
      <x:c r="C150" s="2"/>
      <x:c r="D150" s="2"/>
      <x:c r="E150" s="2"/>
      <x:c r="F150" s="2"/>
      <x:c r="G150" s="2"/>
      <x:c r="H150" s="2"/>
      <x:c r="I150" s="2"/>
      <x:c r="J150" s="2"/>
      <x:c r="K150" s="2"/>
    </x:row>
    <x:row r="151">
      <x:c r="A151" s="2"/>
      <x:c r="B151" s="2"/>
      <x:c r="C151" s="2"/>
      <x:c r="D151" s="2"/>
      <x:c r="E151" s="2"/>
      <x:c r="F151" s="2"/>
      <x:c r="G151" s="2"/>
      <x:c r="H151" s="2"/>
      <x:c r="I151" s="2"/>
      <x:c r="J151" s="2"/>
      <x:c r="K151" s="2"/>
    </x:row>
    <x:row r="152">
      <x:c r="A152" s="2"/>
      <x:c r="B152" s="2"/>
      <x:c r="C152" s="2"/>
      <x:c r="D152" s="2"/>
      <x:c r="E152" s="2"/>
      <x:c r="F152" s="2"/>
      <x:c r="G152" s="2"/>
      <x:c r="H152" s="2"/>
      <x:c r="I152" s="2"/>
      <x:c r="J152" s="2"/>
      <x:c r="K152" s="2"/>
    </x:row>
    <x:row r="153">
      <x:c r="A153" s="2"/>
      <x:c r="B153" s="2"/>
      <x:c r="C153" s="2"/>
      <x:c r="D153" s="2"/>
      <x:c r="E153" s="2"/>
      <x:c r="F153" s="2"/>
      <x:c r="G153" s="2"/>
      <x:c r="H153" s="2"/>
      <x:c r="I153" s="2"/>
      <x:c r="J153" s="2"/>
      <x:c r="K153" s="2"/>
    </x:row>
    <x:row r="154">
      <x:c r="A154" s="2"/>
      <x:c r="B154" s="2"/>
      <x:c r="C154" s="2"/>
      <x:c r="D154" s="2"/>
      <x:c r="E154" s="2"/>
      <x:c r="F154" s="2"/>
      <x:c r="G154" s="2"/>
      <x:c r="H154" s="2"/>
      <x:c r="I154" s="2"/>
      <x:c r="J154" s="2"/>
      <x:c r="K154" s="2"/>
    </x:row>
    <x:row r="155">
      <x:c r="A155" s="2"/>
      <x:c r="B155" s="2"/>
      <x:c r="C155" s="2"/>
      <x:c r="D155" s="2"/>
      <x:c r="E155" s="2"/>
      <x:c r="F155" s="2"/>
      <x:c r="G155" s="2"/>
      <x:c r="H155" s="2"/>
      <x:c r="I155" s="2"/>
      <x:c r="J155" s="2"/>
      <x:c r="K155" s="2"/>
    </x:row>
    <x:row r="156">
      <x:c r="A156" s="2"/>
      <x:c r="B156" s="2"/>
      <x:c r="C156" s="2"/>
      <x:c r="D156" s="2"/>
      <x:c r="E156" s="2"/>
      <x:c r="F156" s="2"/>
      <x:c r="G156" s="2"/>
      <x:c r="H156" s="2"/>
      <x:c r="I156" s="2"/>
      <x:c r="J156" s="2"/>
      <x:c r="K156" s="2"/>
    </x:row>
    <x:row r="157">
      <x:c r="A157" s="2"/>
      <x:c r="B157" s="2"/>
      <x:c r="C157" s="2"/>
      <x:c r="D157" s="2"/>
      <x:c r="E157" s="2"/>
      <x:c r="F157" s="2"/>
      <x:c r="G157" s="2"/>
      <x:c r="H157" s="2"/>
      <x:c r="I157" s="2"/>
      <x:c r="J157" s="2"/>
      <x:c r="K157" s="2"/>
    </x:row>
    <x:row r="158">
      <x:c r="A158" s="2"/>
      <x:c r="B158" s="2"/>
      <x:c r="C158" s="2"/>
      <x:c r="D158" s="2"/>
      <x:c r="E158" s="2"/>
      <x:c r="F158" s="2"/>
      <x:c r="G158" s="2"/>
      <x:c r="H158" s="2"/>
      <x:c r="I158" s="2"/>
      <x:c r="J158" s="2"/>
      <x:c r="K158" s="2"/>
    </x:row>
    <x:row r="159">
      <x:c r="A159" s="2"/>
      <x:c r="B159" s="2"/>
      <x:c r="C159" s="2"/>
      <x:c r="D159" s="2"/>
      <x:c r="E159" s="2"/>
      <x:c r="F159" s="2"/>
      <x:c r="G159" s="2"/>
      <x:c r="H159" s="2"/>
      <x:c r="I159" s="2"/>
      <x:c r="J159" s="2"/>
      <x:c r="K159" s="2"/>
    </x:row>
    <x:row r="160">
      <x:c r="A160" s="2"/>
      <x:c r="B160" s="2"/>
      <x:c r="C160" s="2"/>
      <x:c r="D160" s="2"/>
      <x:c r="E160" s="2"/>
      <x:c r="F160" s="2"/>
      <x:c r="G160" s="2"/>
      <x:c r="H160" s="2"/>
      <x:c r="I160" s="2"/>
      <x:c r="J160" s="2"/>
      <x:c r="K160" s="2"/>
    </x:row>
    <x:row r="161">
      <x:c r="A161" s="2"/>
      <x:c r="B161" s="2"/>
      <x:c r="C161" s="2"/>
      <x:c r="D161" s="2"/>
      <x:c r="E161" s="2"/>
      <x:c r="F161" s="2"/>
      <x:c r="G161" s="2"/>
      <x:c r="H161" s="2"/>
      <x:c r="I161" s="2"/>
      <x:c r="J161" s="2"/>
      <x:c r="K161" s="2"/>
    </x:row>
    <x:row r="162">
      <x:c r="A162" s="2"/>
      <x:c r="B162" s="2"/>
      <x:c r="C162" s="2"/>
      <x:c r="D162" s="2"/>
      <x:c r="E162" s="2"/>
      <x:c r="F162" s="2"/>
      <x:c r="G162" s="2"/>
      <x:c r="H162" s="2"/>
      <x:c r="I162" s="2"/>
      <x:c r="J162" s="2"/>
      <x:c r="K162" s="2"/>
    </x:row>
    <x:row r="163">
      <x:c r="A163" s="2"/>
      <x:c r="B163" s="2"/>
      <x:c r="C163" s="2"/>
      <x:c r="D163" s="2"/>
      <x:c r="E163" s="2"/>
      <x:c r="F163" s="2"/>
      <x:c r="G163" s="2"/>
      <x:c r="H163" s="2"/>
      <x:c r="I163" s="2"/>
      <x:c r="J163" s="2"/>
      <x:c r="K163" s="2"/>
    </x:row>
    <x:row r="164">
      <x:c r="A164" s="2"/>
      <x:c r="B164" s="2"/>
      <x:c r="C164" s="2"/>
      <x:c r="D164" s="2"/>
      <x:c r="E164" s="2"/>
      <x:c r="F164" s="2"/>
      <x:c r="G164" s="2"/>
      <x:c r="H164" s="2"/>
      <x:c r="I164" s="2"/>
      <x:c r="J164" s="2"/>
      <x:c r="K164" s="2"/>
    </x:row>
    <x:row r="165">
      <x:c r="A165" s="2"/>
      <x:c r="B165" s="2"/>
      <x:c r="C165" s="2"/>
      <x:c r="D165" s="2"/>
      <x:c r="E165" s="2"/>
      <x:c r="F165" s="2"/>
      <x:c r="G165" s="2"/>
      <x:c r="H165" s="2"/>
      <x:c r="I165" s="2"/>
      <x:c r="J165" s="2"/>
      <x:c r="K165" s="2"/>
    </x:row>
    <x:row r="166">
      <x:c r="A166" s="2"/>
      <x:c r="B166" s="2"/>
      <x:c r="C166" s="2"/>
      <x:c r="D166" s="2"/>
      <x:c r="E166" s="2"/>
      <x:c r="F166" s="2"/>
      <x:c r="G166" s="2"/>
      <x:c r="H166" s="2"/>
      <x:c r="I166" s="2"/>
      <x:c r="J166" s="2"/>
      <x:c r="K166" s="2"/>
    </x:row>
    <x:row r="167">
      <x:c r="A167" s="2"/>
      <x:c r="B167" s="2"/>
      <x:c r="C167" s="2"/>
      <x:c r="D167" s="2"/>
      <x:c r="E167" s="2"/>
      <x:c r="F167" s="2"/>
      <x:c r="G167" s="2"/>
      <x:c r="H167" s="2"/>
      <x:c r="I167" s="2"/>
      <x:c r="J167" s="2"/>
      <x:c r="K167" s="2"/>
    </x:row>
    <x:row r="168">
      <x:c r="A168" s="2"/>
      <x:c r="B168" s="2"/>
      <x:c r="C168" s="2"/>
      <x:c r="D168" s="2"/>
      <x:c r="E168" s="2"/>
      <x:c r="F168" s="2"/>
      <x:c r="G168" s="2"/>
      <x:c r="H168" s="2"/>
      <x:c r="I168" s="2"/>
      <x:c r="J168" s="2"/>
      <x:c r="K168" s="2"/>
    </x:row>
    <x:row r="169">
      <x:c r="A169" s="2"/>
      <x:c r="B169" s="2"/>
      <x:c r="C169" s="2"/>
      <x:c r="D169" s="2"/>
      <x:c r="E169" s="2"/>
      <x:c r="F169" s="2"/>
      <x:c r="G169" s="2"/>
      <x:c r="H169" s="2"/>
      <x:c r="I169" s="2"/>
      <x:c r="J169" s="2"/>
      <x:c r="K169" s="2"/>
    </x:row>
    <x:row r="170">
      <x:c r="A170" s="2"/>
      <x:c r="B170" s="2"/>
      <x:c r="C170" s="2"/>
      <x:c r="D170" s="2"/>
      <x:c r="E170" s="2"/>
      <x:c r="F170" s="2"/>
      <x:c r="G170" s="2"/>
      <x:c r="H170" s="2"/>
      <x:c r="I170" s="2"/>
      <x:c r="J170" s="2"/>
      <x:c r="K170" s="2"/>
    </x:row>
    <x:row r="171">
      <x:c r="A171" s="2"/>
      <x:c r="B171" s="2"/>
      <x:c r="C171" s="2"/>
      <x:c r="D171" s="2"/>
      <x:c r="E171" s="2"/>
      <x:c r="F171" s="2"/>
      <x:c r="G171" s="2"/>
      <x:c r="H171" s="2"/>
      <x:c r="I171" s="2"/>
      <x:c r="J171" s="2"/>
      <x:c r="K171" s="2"/>
    </x:row>
    <x:row r="172">
      <x:c r="A172" s="2"/>
      <x:c r="B172" s="2"/>
      <x:c r="C172" s="2"/>
      <x:c r="D172" s="2"/>
      <x:c r="E172" s="2"/>
      <x:c r="F172" s="2"/>
      <x:c r="G172" s="2"/>
      <x:c r="H172" s="2"/>
      <x:c r="I172" s="2"/>
      <x:c r="J172" s="2"/>
      <x:c r="K172" s="2"/>
    </x:row>
    <x:row r="173">
      <x:c r="A173" s="2"/>
      <x:c r="B173" s="2"/>
      <x:c r="C173" s="2"/>
      <x:c r="D173" s="2"/>
      <x:c r="E173" s="2"/>
      <x:c r="F173" s="2"/>
      <x:c r="G173" s="2"/>
      <x:c r="H173" s="2"/>
      <x:c r="I173" s="2"/>
      <x:c r="J173" s="2"/>
      <x:c r="K173" s="2"/>
    </x:row>
    <x:row r="174">
      <x:c r="A174" s="2"/>
      <x:c r="B174" s="2"/>
      <x:c r="C174" s="2"/>
      <x:c r="D174" s="2"/>
      <x:c r="E174" s="2"/>
      <x:c r="F174" s="2"/>
      <x:c r="G174" s="2"/>
      <x:c r="H174" s="2"/>
      <x:c r="I174" s="2"/>
      <x:c r="J174" s="2"/>
      <x:c r="K174" s="2"/>
    </x:row>
    <x:row r="175">
      <x:c r="A175" s="2"/>
      <x:c r="B175" s="2"/>
      <x:c r="C175" s="2"/>
      <x:c r="D175" s="2"/>
      <x:c r="E175" s="2"/>
      <x:c r="F175" s="2"/>
      <x:c r="G175" s="2"/>
      <x:c r="H175" s="2"/>
      <x:c r="I175" s="2"/>
      <x:c r="J175" s="2"/>
      <x:c r="K175" s="2"/>
    </x:row>
    <x:row r="176">
      <x:c r="A176" s="2"/>
      <x:c r="B176" s="2"/>
      <x:c r="C176" s="2"/>
      <x:c r="D176" s="2"/>
      <x:c r="E176" s="2"/>
      <x:c r="F176" s="2"/>
      <x:c r="G176" s="2"/>
      <x:c r="H176" s="2"/>
      <x:c r="I176" s="2"/>
      <x:c r="J176" s="2"/>
      <x:c r="K176" s="2"/>
    </x:row>
    <x:row r="177">
      <x:c r="A177" s="2"/>
      <x:c r="B177" s="2"/>
      <x:c r="C177" s="2"/>
      <x:c r="D177" s="2"/>
      <x:c r="E177" s="2"/>
      <x:c r="F177" s="2"/>
      <x:c r="G177" s="2"/>
      <x:c r="H177" s="2"/>
      <x:c r="I177" s="2"/>
      <x:c r="J177" s="2"/>
      <x:c r="K177" s="2"/>
    </x:row>
    <x:row r="178">
      <x:c r="A178" s="2"/>
      <x:c r="B178" s="2"/>
      <x:c r="C178" s="2"/>
      <x:c r="D178" s="2"/>
      <x:c r="E178" s="2"/>
      <x:c r="F178" s="2"/>
      <x:c r="G178" s="2"/>
      <x:c r="H178" s="2"/>
      <x:c r="I178" s="2"/>
      <x:c r="J178" s="2"/>
      <x:c r="K178" s="2"/>
    </x:row>
    <x:row r="179">
      <x:c r="A179" s="2"/>
      <x:c r="B179" s="2"/>
      <x:c r="C179" s="2"/>
      <x:c r="D179" s="2"/>
      <x:c r="E179" s="2"/>
      <x:c r="F179" s="2"/>
      <x:c r="G179" s="2"/>
      <x:c r="H179" s="2"/>
      <x:c r="I179" s="2"/>
      <x:c r="J179" s="2"/>
      <x:c r="K179" s="2"/>
    </x:row>
    <x:row r="180">
      <x:c r="A180" s="2"/>
      <x:c r="B180" s="2"/>
      <x:c r="C180" s="2"/>
      <x:c r="D180" s="2"/>
      <x:c r="E180" s="2"/>
      <x:c r="F180" s="2"/>
      <x:c r="G180" s="2"/>
      <x:c r="H180" s="2"/>
      <x:c r="I180" s="2"/>
      <x:c r="J180" s="2"/>
      <x:c r="K180" s="2"/>
    </x:row>
    <x:row r="181">
      <x:c r="A181" s="2"/>
      <x:c r="B181" s="2"/>
      <x:c r="C181" s="2"/>
      <x:c r="D181" s="2"/>
      <x:c r="E181" s="2"/>
      <x:c r="F181" s="2"/>
      <x:c r="G181" s="2"/>
      <x:c r="H181" s="2"/>
      <x:c r="I181" s="2"/>
      <x:c r="J181" s="2"/>
      <x:c r="K181" s="2"/>
    </x:row>
    <x:row r="182">
      <x:c r="A182" s="2"/>
      <x:c r="B182" s="2"/>
      <x:c r="C182" s="2"/>
      <x:c r="D182" s="2"/>
      <x:c r="E182" s="2"/>
      <x:c r="F182" s="2"/>
      <x:c r="G182" s="2"/>
      <x:c r="H182" s="2"/>
      <x:c r="I182" s="2"/>
      <x:c r="J182" s="2"/>
      <x:c r="K182" s="2"/>
    </x:row>
    <x:row r="183">
      <x:c r="A183" s="2"/>
      <x:c r="B183" s="2"/>
      <x:c r="C183" s="2"/>
      <x:c r="D183" s="2"/>
      <x:c r="E183" s="2"/>
      <x:c r="F183" s="2"/>
      <x:c r="G183" s="2"/>
      <x:c r="H183" s="2"/>
      <x:c r="I183" s="2"/>
      <x:c r="J183" s="2"/>
      <x:c r="K183" s="2"/>
    </x:row>
    <x:row r="184">
      <x:c r="A184" s="2"/>
      <x:c r="B184" s="2"/>
      <x:c r="C184" s="2"/>
      <x:c r="D184" s="2"/>
      <x:c r="E184" s="2"/>
      <x:c r="F184" s="2"/>
      <x:c r="G184" s="2"/>
      <x:c r="H184" s="2"/>
      <x:c r="I184" s="2"/>
      <x:c r="J184" s="2"/>
      <x:c r="K184" s="2"/>
    </x:row>
    <x:row r="185">
      <x:c r="A185" s="2"/>
      <x:c r="B185" s="2"/>
      <x:c r="C185" s="2"/>
      <x:c r="D185" s="2"/>
      <x:c r="E185" s="2"/>
      <x:c r="F185" s="2"/>
      <x:c r="G185" s="2"/>
      <x:c r="H185" s="2"/>
      <x:c r="I185" s="2"/>
      <x:c r="J185" s="2"/>
      <x:c r="K185" s="2"/>
    </x:row>
    <x:row r="186">
      <x:c r="A186" s="2"/>
      <x:c r="B186" s="2"/>
      <x:c r="C186" s="2"/>
      <x:c r="D186" s="2"/>
      <x:c r="E186" s="2"/>
      <x:c r="F186" s="2"/>
      <x:c r="G186" s="2"/>
      <x:c r="H186" s="2"/>
      <x:c r="I186" s="2"/>
      <x:c r="J186" s="2"/>
      <x:c r="K186" s="2"/>
    </x:row>
    <x:row r="187">
      <x:c r="A187" s="2"/>
      <x:c r="B187" s="2"/>
      <x:c r="C187" s="2"/>
      <x:c r="D187" s="2"/>
      <x:c r="E187" s="2"/>
      <x:c r="F187" s="2"/>
      <x:c r="G187" s="2"/>
      <x:c r="H187" s="2"/>
      <x:c r="I187" s="2"/>
      <x:c r="J187" s="2"/>
      <x:c r="K187" s="2"/>
    </x:row>
    <x:row r="188">
      <x:c r="A188" s="2"/>
      <x:c r="B188" s="2"/>
      <x:c r="C188" s="2"/>
      <x:c r="D188" s="2"/>
      <x:c r="E188" s="2"/>
      <x:c r="F188" s="2"/>
      <x:c r="G188" s="2"/>
      <x:c r="H188" s="2"/>
      <x:c r="I188" s="2"/>
      <x:c r="J188" s="2"/>
      <x:c r="K188" s="2"/>
    </x:row>
    <x:row r="189">
      <x:c r="A189" s="2"/>
      <x:c r="B189" s="2"/>
      <x:c r="C189" s="2"/>
      <x:c r="D189" s="2"/>
      <x:c r="E189" s="2"/>
      <x:c r="F189" s="2"/>
      <x:c r="G189" s="2"/>
      <x:c r="H189" s="2"/>
      <x:c r="I189" s="2"/>
      <x:c r="J189" s="2"/>
      <x:c r="K189" s="2"/>
    </x:row>
    <x:row r="190">
      <x:c r="A190" s="2"/>
      <x:c r="B190" s="2"/>
      <x:c r="C190" s="2"/>
      <x:c r="D190" s="2"/>
      <x:c r="E190" s="2"/>
      <x:c r="F190" s="2"/>
      <x:c r="G190" s="2"/>
      <x:c r="H190" s="2"/>
      <x:c r="I190" s="2"/>
      <x:c r="J190" s="2"/>
      <x:c r="K190" s="2"/>
    </x:row>
    <x:row r="191">
      <x:c r="A191" s="2"/>
      <x:c r="B191" s="2"/>
      <x:c r="C191" s="2"/>
      <x:c r="D191" s="2"/>
      <x:c r="E191" s="2"/>
      <x:c r="F191" s="2"/>
      <x:c r="G191" s="2"/>
      <x:c r="H191" s="2"/>
      <x:c r="I191" s="2"/>
      <x:c r="J191" s="2"/>
      <x:c r="K191" s="2"/>
    </x:row>
    <x:row r="192">
      <x:c r="A192" s="2"/>
      <x:c r="B192" s="2"/>
      <x:c r="C192" s="2"/>
      <x:c r="D192" s="2"/>
      <x:c r="E192" s="2"/>
      <x:c r="F192" s="2"/>
      <x:c r="G192" s="2"/>
      <x:c r="H192" s="2"/>
      <x:c r="I192" s="2"/>
      <x:c r="J192" s="2"/>
      <x:c r="K192" s="2"/>
    </x:row>
    <x:row r="193">
      <x:c r="A193" s="2"/>
      <x:c r="B193" s="2"/>
      <x:c r="C193" s="2"/>
      <x:c r="D193" s="2"/>
      <x:c r="E193" s="2"/>
      <x:c r="F193" s="2"/>
      <x:c r="G193" s="2"/>
      <x:c r="H193" s="2"/>
      <x:c r="I193" s="2"/>
      <x:c r="J193" s="2"/>
      <x:c r="K193" s="2"/>
    </x:row>
    <x:row r="194">
      <x:c r="A194" s="2"/>
      <x:c r="B194" s="2"/>
      <x:c r="C194" s="2"/>
      <x:c r="D194" s="2"/>
      <x:c r="E194" s="2"/>
      <x:c r="F194" s="2"/>
      <x:c r="G194" s="2"/>
      <x:c r="H194" s="2"/>
      <x:c r="I194" s="2"/>
      <x:c r="J194" s="2"/>
      <x:c r="K194" s="2"/>
    </x:row>
    <x:row r="195">
      <x:c r="A195" s="2"/>
      <x:c r="B195" s="2"/>
      <x:c r="C195" s="2"/>
      <x:c r="D195" s="2"/>
      <x:c r="E195" s="2"/>
      <x:c r="F195" s="2"/>
      <x:c r="G195" s="2"/>
      <x:c r="H195" s="2"/>
      <x:c r="I195" s="2"/>
      <x:c r="J195" s="2"/>
      <x:c r="K195" s="2"/>
    </x:row>
    <x:row r="196">
      <x:c r="A196" s="2"/>
      <x:c r="B196" s="2"/>
      <x:c r="C196" s="2"/>
      <x:c r="D196" s="2"/>
      <x:c r="E196" s="2"/>
      <x:c r="F196" s="2"/>
      <x:c r="G196" s="2"/>
      <x:c r="H196" s="2"/>
      <x:c r="I196" s="2"/>
      <x:c r="J196" s="2"/>
      <x:c r="K196" s="2"/>
    </x:row>
    <x:row r="197">
      <x:c r="A197" s="2"/>
      <x:c r="B197" s="2"/>
      <x:c r="C197" s="2"/>
      <x:c r="D197" s="2"/>
      <x:c r="E197" s="2"/>
      <x:c r="F197" s="2"/>
      <x:c r="G197" s="2"/>
      <x:c r="H197" s="2"/>
      <x:c r="I197" s="2"/>
      <x:c r="J197" s="2"/>
      <x:c r="K197" s="2"/>
    </x:row>
    <x:row r="198">
      <x:c r="A198" s="2"/>
      <x:c r="B198" s="2"/>
      <x:c r="C198" s="2"/>
      <x:c r="D198" s="2"/>
      <x:c r="E198" s="2"/>
      <x:c r="F198" s="2"/>
      <x:c r="G198" s="2"/>
      <x:c r="H198" s="2"/>
      <x:c r="I198" s="2"/>
      <x:c r="J198" s="2"/>
      <x:c r="K198" s="2"/>
    </x:row>
    <x:row r="199">
      <x:c r="A199" s="2"/>
      <x:c r="B199" s="2"/>
      <x:c r="C199" s="2"/>
      <x:c r="D199" s="2"/>
      <x:c r="E199" s="2"/>
      <x:c r="F199" s="2"/>
      <x:c r="G199" s="2"/>
      <x:c r="H199" s="2"/>
      <x:c r="I199" s="2"/>
      <x:c r="J199" s="2"/>
      <x:c r="K199" s="2"/>
    </x:row>
    <x:row r="200">
      <x:c r="A200" s="2"/>
      <x:c r="B200" s="2"/>
      <x:c r="C200" s="2"/>
      <x:c r="D200" s="2"/>
      <x:c r="E200" s="2"/>
      <x:c r="F200" s="2"/>
      <x:c r="G200" s="2"/>
      <x:c r="H200" s="2"/>
      <x:c r="I200" s="2"/>
      <x:c r="J200" s="2"/>
      <x:c r="K200" s="2"/>
    </x:row>
    <x:row r="201">
      <x:c r="A201" s="2"/>
      <x:c r="B201" s="2"/>
      <x:c r="C201" s="2"/>
      <x:c r="D201" s="2"/>
      <x:c r="E201" s="2"/>
      <x:c r="F201" s="2"/>
      <x:c r="G201" s="2"/>
      <x:c r="H201" s="2"/>
      <x:c r="I201" s="2"/>
      <x:c r="J201" s="2"/>
      <x:c r="K201" s="2"/>
    </x:row>
    <x:row r="202">
      <x:c r="A202" s="2"/>
      <x:c r="B202" s="2"/>
      <x:c r="C202" s="2"/>
      <x:c r="D202" s="2"/>
      <x:c r="E202" s="2"/>
      <x:c r="F202" s="2"/>
      <x:c r="G202" s="2"/>
      <x:c r="H202" s="2"/>
      <x:c r="I202" s="2"/>
      <x:c r="J202" s="2"/>
      <x:c r="K202" s="2"/>
    </x:row>
    <x:row r="203">
      <x:c r="A203" s="2"/>
      <x:c r="B203" s="2"/>
      <x:c r="C203" s="2"/>
      <x:c r="D203" s="2"/>
      <x:c r="E203" s="2"/>
      <x:c r="F203" s="2"/>
      <x:c r="G203" s="2"/>
      <x:c r="H203" s="2"/>
      <x:c r="I203" s="2"/>
      <x:c r="J203" s="2"/>
      <x:c r="K203" s="2"/>
    </x:row>
    <x:row r="204">
      <x:c r="A204" s="2"/>
      <x:c r="B204" s="2"/>
      <x:c r="C204" s="2"/>
      <x:c r="D204" s="2"/>
      <x:c r="E204" s="2"/>
      <x:c r="F204" s="2"/>
      <x:c r="G204" s="2"/>
      <x:c r="H204" s="2"/>
      <x:c r="I204" s="2"/>
      <x:c r="J204" s="2"/>
      <x:c r="K204" s="2"/>
    </x:row>
    <x:row r="205">
      <x:c r="A205" s="2"/>
      <x:c r="B205" s="2"/>
      <x:c r="C205" s="2"/>
      <x:c r="D205" s="2"/>
      <x:c r="E205" s="2"/>
      <x:c r="F205" s="2"/>
      <x:c r="G205" s="2"/>
      <x:c r="H205" s="2"/>
      <x:c r="I205" s="2"/>
      <x:c r="J205" s="2"/>
      <x:c r="K205" s="2"/>
    </x:row>
    <x:row r="206">
      <x:c r="A206" s="2"/>
      <x:c r="B206" s="2"/>
      <x:c r="C206" s="2"/>
      <x:c r="D206" s="2"/>
      <x:c r="E206" s="2"/>
      <x:c r="F206" s="2"/>
      <x:c r="G206" s="2"/>
      <x:c r="H206" s="2"/>
      <x:c r="I206" s="2"/>
      <x:c r="J206" s="2"/>
      <x:c r="K206" s="2"/>
    </x:row>
    <x:row r="207">
      <x:c r="A207" s="2"/>
      <x:c r="B207" s="2"/>
      <x:c r="C207" s="2"/>
      <x:c r="D207" s="2"/>
      <x:c r="E207" s="2"/>
      <x:c r="F207" s="2"/>
      <x:c r="G207" s="2"/>
      <x:c r="H207" s="2"/>
      <x:c r="I207" s="2"/>
      <x:c r="J207" s="2"/>
      <x:c r="K207" s="2"/>
    </x:row>
    <x:row r="208">
      <x:c r="A208" s="2"/>
      <x:c r="B208" s="2"/>
      <x:c r="C208" s="2"/>
      <x:c r="D208" s="2"/>
      <x:c r="E208" s="2"/>
      <x:c r="F208" s="2"/>
      <x:c r="G208" s="2"/>
      <x:c r="H208" s="2"/>
      <x:c r="I208" s="2"/>
      <x:c r="J208" s="2"/>
      <x:c r="K208" s="2"/>
    </x:row>
    <x:row r="209">
      <x:c r="A209" s="2"/>
      <x:c r="B209" s="2"/>
      <x:c r="C209" s="2"/>
      <x:c r="D209" s="2"/>
      <x:c r="E209" s="2"/>
      <x:c r="F209" s="2"/>
      <x:c r="G209" s="2"/>
      <x:c r="H209" s="2"/>
      <x:c r="I209" s="2"/>
      <x:c r="J209" s="2"/>
      <x:c r="K209" s="2"/>
    </x:row>
    <x:row r="210">
      <x:c r="A210" s="2"/>
      <x:c r="B210" s="2"/>
      <x:c r="C210" s="2"/>
      <x:c r="D210" s="2"/>
      <x:c r="E210" s="2"/>
      <x:c r="F210" s="2"/>
      <x:c r="G210" s="2"/>
      <x:c r="H210" s="2"/>
      <x:c r="I210" s="2"/>
      <x:c r="J210" s="2"/>
      <x:c r="K210" s="2"/>
    </x:row>
    <x:row r="211">
      <x:c r="A211" s="2"/>
      <x:c r="B211" s="2"/>
      <x:c r="C211" s="2"/>
      <x:c r="D211" s="2"/>
      <x:c r="E211" s="2"/>
      <x:c r="F211" s="2"/>
      <x:c r="G211" s="2"/>
      <x:c r="H211" s="2"/>
      <x:c r="I211" s="2"/>
      <x:c r="J211" s="2"/>
      <x:c r="K211" s="2"/>
    </x:row>
    <x:row r="212">
      <x:c r="A212" s="2"/>
      <x:c r="B212" s="2"/>
      <x:c r="C212" s="2"/>
      <x:c r="D212" s="2"/>
      <x:c r="E212" s="2"/>
      <x:c r="F212" s="2"/>
      <x:c r="G212" s="2"/>
      <x:c r="H212" s="2"/>
      <x:c r="I212" s="2"/>
      <x:c r="J212" s="2"/>
      <x:c r="K212" s="2"/>
    </x:row>
    <x:row r="213">
      <x:c r="A213" s="2"/>
      <x:c r="B213" s="2"/>
      <x:c r="C213" s="2"/>
      <x:c r="D213" s="2"/>
      <x:c r="E213" s="2"/>
      <x:c r="F213" s="2"/>
      <x:c r="G213" s="2"/>
      <x:c r="H213" s="2"/>
      <x:c r="I213" s="2"/>
      <x:c r="J213" s="2"/>
      <x:c r="K213" s="2"/>
    </x:row>
    <x:row r="214">
      <x:c r="A214" s="2"/>
      <x:c r="B214" s="2"/>
      <x:c r="C214" s="2"/>
      <x:c r="D214" s="2"/>
      <x:c r="E214" s="2"/>
      <x:c r="F214" s="2"/>
      <x:c r="G214" s="2"/>
      <x:c r="H214" s="2"/>
      <x:c r="I214" s="2"/>
      <x:c r="J214" s="2"/>
      <x:c r="K214" s="2"/>
    </x:row>
    <x:row r="215">
      <x:c r="A215" s="2"/>
      <x:c r="B215" s="2"/>
      <x:c r="C215" s="2"/>
      <x:c r="D215" s="2"/>
      <x:c r="E215" s="2"/>
      <x:c r="F215" s="2"/>
      <x:c r="G215" s="2"/>
      <x:c r="H215" s="2"/>
      <x:c r="I215" s="2"/>
      <x:c r="J215" s="2"/>
      <x:c r="K215" s="2"/>
    </x:row>
    <x:row r="216">
      <x:c r="A216" s="2"/>
      <x:c r="B216" s="2"/>
      <x:c r="C216" s="2"/>
      <x:c r="D216" s="2"/>
      <x:c r="E216" s="2"/>
      <x:c r="F216" s="2"/>
      <x:c r="G216" s="2"/>
      <x:c r="H216" s="2"/>
      <x:c r="I216" s="2"/>
      <x:c r="J216" s="2"/>
      <x:c r="K216" s="2"/>
    </x:row>
    <x:row r="217">
      <x:c r="A217" s="2"/>
      <x:c r="B217" s="2"/>
      <x:c r="C217" s="2"/>
      <x:c r="D217" s="2"/>
      <x:c r="E217" s="2"/>
      <x:c r="F217" s="2"/>
      <x:c r="G217" s="2"/>
      <x:c r="H217" s="2"/>
      <x:c r="I217" s="2"/>
      <x:c r="J217" s="2"/>
      <x:c r="K217" s="2"/>
    </x:row>
    <x:row r="218">
      <x:c r="A218" s="2"/>
      <x:c r="B218" s="2"/>
      <x:c r="C218" s="2"/>
      <x:c r="D218" s="2"/>
      <x:c r="E218" s="2"/>
      <x:c r="F218" s="2"/>
      <x:c r="G218" s="2"/>
      <x:c r="H218" s="2"/>
      <x:c r="I218" s="2"/>
      <x:c r="J218" s="2"/>
      <x:c r="K218" s="2"/>
    </x:row>
    <x:row r="219">
      <x:c r="A219" s="2"/>
      <x:c r="B219" s="2"/>
      <x:c r="C219" s="2"/>
      <x:c r="D219" s="2"/>
      <x:c r="E219" s="2"/>
      <x:c r="F219" s="2"/>
      <x:c r="G219" s="2"/>
      <x:c r="H219" s="2"/>
      <x:c r="I219" s="2"/>
      <x:c r="J219" s="2"/>
      <x:c r="K219" s="2"/>
    </x:row>
    <x:row r="220">
      <x:c r="A220" s="2"/>
      <x:c r="B220" s="2"/>
      <x:c r="C220" s="2"/>
      <x:c r="D220" s="2"/>
      <x:c r="E220" s="2"/>
      <x:c r="F220" s="2"/>
      <x:c r="G220" s="2"/>
      <x:c r="H220" s="2"/>
      <x:c r="I220" s="2"/>
      <x:c r="J220" s="2"/>
      <x:c r="K220" s="2"/>
    </x:row>
  </x:sheetData>
  <x:mergeCells>
    <x:mergeCell ref="A1:H1"/>
    <x:mergeCell ref="A2:H2"/>
  </x:mergeCells>
  <x:pageMargins left="0.7" right="0.7" top="0.75" bottom="0.75" header="0.3" footer="0.3"/>
  <x:tableParts count="1">
    <x:tablePart xmlns:r="http://schemas.openxmlformats.org/officeDocument/2006/relationships" r:id="R2fc806f3caf54d24"/>
  </x:tableParts>
</x:worksheet>
</file>