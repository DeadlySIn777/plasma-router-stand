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281a6686d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 total" sheetId="1" r:id="Rf0fc73b9819c44ef"/>
    <x:sheet xmlns:r="http://schemas.openxmlformats.org/officeDocument/2006/relationships" name="Parts and sources" sheetId="2" r:id="Ra7ea1bc35157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$0.00"/>
    <x:numFmt numFmtId="201" formatCode="$0.000"/>
    <x:numFmt numFmtId="202" formatCode="$#,##0.00"/>
  </x:numFmts>
  <x:fonts count="6">
    <x:font>
      <x:sz val="11"/>
      <x:name val="Carlito"/>
    </x:font>
    <x:font>
      <x:sz val="11"/>
      <x:name val="Aptos"/>
    </x:font>
    <x:font>
      <x:b/>
      <x:sz val="11"/>
      <x:name val="Aptos"/>
    </x:font>
    <x:font>
      <x:sz val="11"/>
      <x:color rgb="FFFFFFFF"/>
      <x:name val="Aptos"/>
    </x:font>
    <x:font>
      <x:sz val="20"/>
      <x:color rgb="FFFFFFFF"/>
      <x:name val="Aptos"/>
    </x:font>
    <x:font>
      <x:b/>
      <x:sz val="22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A43"/>
      </x:patternFill>
    </x:fill>
    <x:fill>
      <x:patternFill patternType="solid">
        <x:fgColor rgb="FFDCEDEA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202" fontId="5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14a7b5d764266" /><Relationship Type="http://schemas.openxmlformats.org/officeDocument/2006/relationships/theme" Target="/xl/theme/theme1.xml" Id="R0d02fcf5cba34db0" /><Relationship Type="http://schemas.openxmlformats.org/officeDocument/2006/relationships/sharedStrings" Target="/xl/sharedStrings.xml" Id="R108c780b60284239" /><Relationship Type="http://schemas.openxmlformats.org/officeDocument/2006/relationships/worksheet" Target="/xl/worksheets/sheet1.xml" Id="Rf0fc73b9819c44ef" /><Relationship Type="http://schemas.openxmlformats.org/officeDocument/2006/relationships/worksheet" Target="/xl/worksheets/sheet2.xml" Id="Ra7ea1bc351574fc9" /></Relationships>
</file>

<file path=xl/tables/table1.xml><?xml version="1.0" encoding="utf-8"?>
<x:table xmlns:x="http://schemas.openxmlformats.org/spreadsheetml/2006/main" id="1" name="PurchasePlan" displayName="PurchasePlan" ref="A6:M80" headerRowCount="1" totalsRowCount="0" totalsRowShown="0">
  <x:tableColumns count="13">
    <x:tableColumn id="1" name="ID"/>
    <x:tableColumn id="2" name="Category"/>
    <x:tableColumn id="3" name="Item / specification"/>
    <x:tableColumn id="4" name="Qty"/>
    <x:tableColumn id="5" name="Unit"/>
    <x:tableColumn id="6" name="Unit $"/>
    <x:tableColumn id="7" name="Price basis"/>
    <x:tableColumn id="8" name="Known ship $"/>
    <x:tableColumn id="9" name="Goods $"/>
    <x:tableColumn id="10" name="Planning line $"/>
    <x:tableColumn id="11" name="Shipping status"/>
    <x:tableColumn id="12" name="Source"/>
    <x:tableColumn id="13" name="Fit / scope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57adb92e0f4b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</x:cols>
  <x:sheetData>
    <x:row r="1" ht="38" customHeight="1">
      <x:c r="A1" s="15" t="str">
        <x:v>CNC + plasma | RevE build estimate</x:v>
      </x:c>
      <x:c r="B1" s="14"/>
      <x:c r="C1" s="14"/>
      <x:c r="D1" s="14"/>
      <x:c r="E1" s="14"/>
      <x:c r="F1" s="14"/>
      <x:c r="G1" s="1"/>
      <x:c r="H1" s="1"/>
      <x:c r="I1" s="1"/>
      <x:c r="J1" s="1"/>
      <x:c r="K1" s="1"/>
      <x:c r="L1" s="1"/>
      <x:c r="M1" s="1"/>
    </x:row>
    <x:row r="2" ht="23" customHeight="1">
      <x:c r="A2" s="4" t="str">
        <x:v>800 × 1000 × 100 mm nominal travel • Alto, Georgia 30510 • USD</x:v>
      </x:c>
      <x:c r="B2" s="4"/>
      <x:c r="C2" s="4"/>
      <x:c r="D2" s="4"/>
      <x:c r="E2" s="4"/>
      <x:c r="F2" s="4"/>
      <x:c r="G2" s="1"/>
      <x:c r="H2" s="1"/>
      <x:c r="I2" s="1"/>
      <x:c r="J2" s="1"/>
      <x:c r="K2" s="1"/>
      <x:c r="L2" s="1"/>
      <x:c r="M2" s="1"/>
    </x:row>
    <x:row r="3" ht="23" customHeight="1">
      <x:c r="A3" s="4"/>
      <x:c r="B3" s="4"/>
      <x:c r="C3" s="4"/>
      <x:c r="D3" s="4"/>
      <x:c r="E3" s="4"/>
      <x:c r="F3" s="4"/>
      <x:c r="G3" s="1"/>
      <x:c r="H3" s="1"/>
      <x:c r="I3" s="1"/>
      <x:c r="J3" s="1"/>
      <x:c r="K3" s="1"/>
      <x:c r="L3" s="1"/>
      <x:c r="M3" s="1"/>
    </x:row>
    <x:row r="4" ht="40" customHeight="1">
      <x:c r="A4" s="20" t="str">
        <x:v>PLANNING TOTAL, BEFORE TAX</x:v>
      </x:c>
      <x:c r="B4" s="20"/>
      <x:c r="C4" s="20"/>
      <x:c r="D4" s="20"/>
      <x:c r="E4" s="22" t="n">
        <x:f>SUM('Parts and sources'!J7:J80)</x:f>
        <x:v>7663.819999999997</x:v>
      </x:c>
      <x:c r="F4" s="23"/>
      <x:c r="G4" s="1"/>
      <x:c r="H4" s="1"/>
      <x:c r="I4" s="1"/>
      <x:c r="J4" s="1"/>
      <x:c r="K4" s="1"/>
      <x:c r="L4" s="1"/>
      <x:c r="M4" s="1"/>
    </x:row>
    <x:row r="5" ht="23" customHeight="1">
      <x:c r="A5" s="4" t="str">
        <x:v>Owner performs fabrication: $1,150 in outside-shop allowances removed. Includes $300 shipping reserve and unquoted materials / hardware. Final delivered cost remains unresolved.</x:v>
      </x:c>
      <x:c r="B5" s="4"/>
      <x:c r="C5" s="4"/>
      <x:c r="D5" s="4"/>
      <x:c r="E5" s="24"/>
      <x:c r="F5" s="24"/>
      <x:c r="G5" s="1"/>
      <x:c r="H5" s="1"/>
      <x:c r="I5" s="1"/>
      <x:c r="J5" s="1"/>
      <x:c r="K5" s="1"/>
      <x:c r="L5" s="1"/>
      <x:c r="M5" s="1"/>
    </x:row>
    <x:row r="6" ht="23" customHeight="1">
      <x:c r="A6" s="4"/>
      <x:c r="B6" s="4"/>
      <x:c r="C6" s="4"/>
      <x:c r="D6" s="4"/>
      <x:c r="E6" s="24"/>
      <x:c r="F6" s="24"/>
      <x:c r="G6" s="1"/>
      <x:c r="H6" s="1"/>
      <x:c r="I6" s="1"/>
      <x:c r="J6" s="1"/>
      <x:c r="K6" s="1"/>
      <x:c r="L6" s="1"/>
      <x:c r="M6" s="1"/>
    </x:row>
    <x:row r="7" ht="23" customHeight="1">
      <x:c r="A7" s="4"/>
      <x:c r="B7" s="4"/>
      <x:c r="C7" s="4"/>
      <x:c r="D7" s="4"/>
      <x:c r="E7" s="24"/>
      <x:c r="F7" s="24"/>
      <x:c r="G7" s="1"/>
      <x:c r="H7" s="1"/>
      <x:c r="I7" s="1"/>
      <x:c r="J7" s="1"/>
      <x:c r="K7" s="1"/>
      <x:c r="L7" s="1"/>
      <x:c r="M7" s="1"/>
    </x:row>
    <x:row r="8" ht="23" customHeight="1">
      <x:c r="A8" s="4" t="str">
        <x:v>Observed goods + displayed delivery</x:v>
      </x:c>
      <x:c r="B8" s="4"/>
      <x:c r="C8" s="4"/>
      <x:c r="D8" s="4"/>
      <x:c r="E8" s="24" t="n">
        <x:f>SUMIF('Parts and sources'!G7:G80,"Observed",'Parts and sources'!J7:J80)</x:f>
        <x:v>2982.8699999999994</x:v>
      </x:c>
      <x:c r="F8" s="24"/>
      <x:c r="G8" s="1"/>
      <x:c r="H8" s="1"/>
      <x:c r="I8" s="1"/>
      <x:c r="J8" s="1"/>
      <x:c r="K8" s="1"/>
      <x:c r="L8" s="1"/>
      <x:c r="M8" s="1"/>
    </x:row>
    <x:row r="9" ht="23" customHeight="1">
      <x:c r="A9" s="4" t="str">
        <x:v>Allowances, benchmarks, screenshots and reserve</x:v>
      </x:c>
      <x:c r="B9" s="4"/>
      <x:c r="C9" s="4"/>
      <x:c r="D9" s="4"/>
      <x:c r="E9" s="24" t="n">
        <x:f>E4-E8</x:f>
        <x:v>4680.949999999997</x:v>
      </x:c>
      <x:c r="F9" s="24"/>
      <x:c r="G9" s="1"/>
      <x:c r="H9" s="1"/>
      <x:c r="I9" s="1"/>
      <x:c r="J9" s="1"/>
      <x:c r="K9" s="1"/>
      <x:c r="L9" s="1"/>
      <x:c r="M9" s="1"/>
    </x:row>
    <x:row r="10" ht="23" customHeight="1">
      <x:c r="A10" s="4"/>
      <x:c r="B10" s="4"/>
      <x:c r="C10" s="4"/>
      <x:c r="D10" s="4"/>
      <x:c r="E10" s="24"/>
      <x:c r="F10" s="24"/>
      <x:c r="G10" s="1"/>
      <x:c r="H10" s="1"/>
      <x:c r="I10" s="1"/>
      <x:c r="J10" s="1"/>
      <x:c r="K10" s="1"/>
      <x:c r="L10" s="1"/>
      <x:c r="M10" s="1"/>
    </x:row>
    <x:row r="11" ht="23" customHeight="1">
      <x:c r="A11" s="14" t="str">
        <x:v>Included scope</x:v>
      </x:c>
      <x:c r="B11" s="14"/>
      <x:c r="C11" s="14"/>
      <x:c r="D11" s="14"/>
      <x:c r="E11" s="26" t="str">
        <x:v>Planning $</x:v>
      </x:c>
      <x:c r="F11" s="26"/>
      <x:c r="G11" s="1"/>
      <x:c r="H11" s="1"/>
      <x:c r="I11" s="1"/>
      <x:c r="J11" s="1"/>
      <x:c r="K11" s="1"/>
      <x:c r="L11" s="1"/>
      <x:c r="M11" s="1"/>
    </x:row>
    <x:row r="12" ht="23" customHeight="1">
      <x:c r="A12" s="4" t="str">
        <x:v>Motion</x:v>
      </x:c>
      <x:c r="B12" s="4"/>
      <x:c r="C12" s="4"/>
      <x:c r="D12" s="4"/>
      <x:c r="E12" s="24" t="n">
        <x:f>SUMIF('Parts and sources'!B7:B80,A12,'Parts and sources'!J7:J80)</x:f>
        <x:v>1852.76</x:v>
      </x:c>
      <x:c r="F12" s="24"/>
      <x:c r="G12" s="1"/>
      <x:c r="H12" s="1"/>
      <x:c r="I12" s="1"/>
      <x:c r="J12" s="1"/>
      <x:c r="K12" s="1"/>
      <x:c r="L12" s="1"/>
      <x:c r="M12" s="1"/>
    </x:row>
    <x:row r="13" ht="23" customHeight="1">
      <x:c r="A13" s="4" t="str">
        <x:v>Router bed</x:v>
      </x:c>
      <x:c r="B13" s="4"/>
      <x:c r="C13" s="4"/>
      <x:c r="D13" s="4"/>
      <x:c r="E13" s="24" t="n">
        <x:f>SUMIF('Parts and sources'!B7:B80,A13,'Parts and sources'!J7:J80)</x:f>
        <x:v>725.66</x:v>
      </x:c>
      <x:c r="F13" s="24"/>
      <x:c r="G13" s="1"/>
      <x:c r="H13" s="1"/>
      <x:c r="I13" s="1"/>
      <x:c r="J13" s="1"/>
      <x:c r="K13" s="1"/>
      <x:c r="L13" s="1"/>
      <x:c r="M13" s="1"/>
    </x:row>
    <x:row r="14" ht="23" customHeight="1">
      <x:c r="A14" s="4" t="str">
        <x:v>Router head</x:v>
      </x:c>
      <x:c r="B14" s="4"/>
      <x:c r="C14" s="4"/>
      <x:c r="D14" s="4"/>
      <x:c r="E14" s="24" t="n">
        <x:f>SUMIF('Parts and sources'!B7:B80,A14,'Parts and sources'!J7:J80)</x:f>
        <x:v>559.99</x:v>
      </x:c>
      <x:c r="F14" s="24"/>
      <x:c r="G14" s="1"/>
      <x:c r="H14" s="1"/>
      <x:c r="I14" s="1"/>
      <x:c r="J14" s="1"/>
      <x:c r="K14" s="1"/>
      <x:c r="L14" s="1"/>
      <x:c r="M14" s="1"/>
    </x:row>
    <x:row r="15" ht="23" customHeight="1">
      <x:c r="A15" s="4" t="str">
        <x:v>Chassis</x:v>
      </x:c>
      <x:c r="B15" s="4"/>
      <x:c r="C15" s="4"/>
      <x:c r="D15" s="4"/>
      <x:c r="E15" s="24" t="n">
        <x:f>SUMIF('Parts and sources'!B7:B80,A15,'Parts and sources'!J7:J80)</x:f>
        <x:v>1421</x:v>
      </x:c>
      <x:c r="F15" s="24"/>
      <x:c r="G15" s="1"/>
      <x:c r="H15" s="1"/>
      <x:c r="I15" s="1"/>
      <x:c r="J15" s="1"/>
      <x:c r="K15" s="1"/>
      <x:c r="L15" s="1"/>
      <x:c r="M15" s="1"/>
    </x:row>
    <x:row r="16" ht="23" customHeight="1">
      <x:c r="A16" s="4" t="str">
        <x:v>Water metal</x:v>
      </x:c>
      <x:c r="B16" s="4"/>
      <x:c r="C16" s="4"/>
      <x:c r="D16" s="4"/>
      <x:c r="E16" s="24" t="n">
        <x:f>SUMIF('Parts and sources'!B7:B80,A16,'Parts and sources'!J7:J80)</x:f>
        <x:v>445</x:v>
      </x:c>
      <x:c r="F16" s="24"/>
      <x:c r="G16" s="1"/>
      <x:c r="H16" s="1"/>
      <x:c r="I16" s="1"/>
      <x:c r="J16" s="1"/>
      <x:c r="K16" s="1"/>
      <x:c r="L16" s="1"/>
      <x:c r="M16" s="1"/>
    </x:row>
    <x:row r="17" ht="23" customHeight="1">
      <x:c r="A17" s="4" t="str">
        <x:v>Water controls</x:v>
      </x:c>
      <x:c r="B17" s="4"/>
      <x:c r="C17" s="4"/>
      <x:c r="D17" s="4"/>
      <x:c r="E17" s="24" t="n">
        <x:f>SUMIF('Parts and sources'!B7:B80,A17,'Parts and sources'!J7:J80)</x:f>
        <x:v>591.74</x:v>
      </x:c>
      <x:c r="F17" s="24"/>
      <x:c r="G17" s="1"/>
      <x:c r="H17" s="1"/>
      <x:c r="I17" s="1"/>
      <x:c r="J17" s="1"/>
      <x:c r="K17" s="1"/>
      <x:c r="L17" s="1"/>
      <x:c r="M17" s="1"/>
    </x:row>
    <x:row r="18" ht="23" customHeight="1">
      <x:c r="A18" s="4" t="str">
        <x:v>Controls</x:v>
      </x:c>
      <x:c r="B18" s="4"/>
      <x:c r="C18" s="4"/>
      <x:c r="D18" s="4"/>
      <x:c r="E18" s="24" t="n">
        <x:f>SUMIF('Parts and sources'!B7:B80,A18,'Parts and sources'!J7:J80)</x:f>
        <x:v>1377.67</x:v>
      </x:c>
      <x:c r="F18" s="24"/>
      <x:c r="G18" s="1"/>
      <x:c r="H18" s="1"/>
      <x:c r="I18" s="1"/>
      <x:c r="J18" s="1"/>
      <x:c r="K18" s="1"/>
      <x:c r="L18" s="1"/>
      <x:c r="M18" s="1"/>
    </x:row>
    <x:row r="19" ht="23" customHeight="1">
      <x:c r="A19" s="4" t="str">
        <x:v>Plasma interface</x:v>
      </x:c>
      <x:c r="B19" s="4"/>
      <x:c r="C19" s="4"/>
      <x:c r="D19" s="4"/>
      <x:c r="E19" s="24" t="n">
        <x:f>SUMIF('Parts and sources'!B7:B80,A19,'Parts and sources'!J7:J80)</x:f>
        <x:v>215</x:v>
      </x:c>
      <x:c r="F19" s="24"/>
      <x:c r="G19" s="1"/>
      <x:c r="H19" s="1"/>
      <x:c r="I19" s="1"/>
      <x:c r="J19" s="1"/>
      <x:c r="K19" s="1"/>
      <x:c r="L19" s="1"/>
      <x:c r="M19" s="1"/>
    </x:row>
    <x:row r="20" ht="23" customHeight="1">
      <x:c r="A20" s="4" t="str">
        <x:v>Fabrication</x:v>
      </x:c>
      <x:c r="B20" s="4"/>
      <x:c r="C20" s="4"/>
      <x:c r="D20" s="4"/>
      <x:c r="E20" s="24" t="n">
        <x:f>SUMIF('Parts and sources'!B7:B80,A20,'Parts and sources'!J7:J80)</x:f>
        <x:v>175</x:v>
      </x:c>
      <x:c r="F20" s="24"/>
      <x:c r="G20" s="1"/>
      <x:c r="H20" s="1"/>
      <x:c r="I20" s="1"/>
      <x:c r="J20" s="1"/>
      <x:c r="K20" s="1"/>
      <x:c r="L20" s="1"/>
      <x:c r="M20" s="1"/>
    </x:row>
    <x:row r="21" ht="23" customHeight="1">
      <x:c r="A21" s="4" t="str">
        <x:v>Shipping reserve</x:v>
      </x:c>
      <x:c r="B21" s="4"/>
      <x:c r="C21" s="4"/>
      <x:c r="D21" s="4"/>
      <x:c r="E21" s="24" t="n">
        <x:f>SUMIF('Parts and sources'!B7:B80,A21,'Parts and sources'!J7:J80)</x:f>
        <x:v>300</x:v>
      </x:c>
      <x:c r="F21" s="24"/>
      <x:c r="G21" s="1"/>
      <x:c r="H21" s="1"/>
      <x:c r="I21" s="1"/>
      <x:c r="J21" s="1"/>
      <x:c r="K21" s="1"/>
      <x:c r="L21" s="1"/>
      <x:c r="M21" s="1"/>
    </x:row>
    <x:row r="22" ht="23" customHeight="1">
      <x:c r="A22" s="4"/>
      <x:c r="B22" s="4"/>
      <x:c r="C22" s="4"/>
      <x:c r="D22" s="4"/>
      <x:c r="E22" s="24"/>
      <x:c r="F22" s="24"/>
      <x:c r="G22" s="1"/>
      <x:c r="H22" s="1"/>
      <x:c r="I22" s="1"/>
      <x:c r="J22" s="1"/>
      <x:c r="K22" s="1"/>
      <x:c r="L22" s="1"/>
      <x:c r="M22" s="1"/>
    </x:row>
    <x:row r="23" ht="23" customHeight="1">
      <x:c r="A23" s="12" t="str">
        <x:v>Bed quantity</x:v>
      </x:c>
      <x:c r="B23" s="4"/>
      <x:c r="C23" s="4"/>
      <x:c r="D23" s="4"/>
      <x:c r="E23" s="4"/>
      <x:c r="F23" s="4"/>
      <x:c r="G23" s="1"/>
      <x:c r="H23" s="1"/>
      <x:c r="I23" s="1"/>
      <x:c r="J23" s="1"/>
      <x:c r="K23" s="1"/>
      <x:c r="L23" s="1"/>
      <x:c r="M23" s="1"/>
    </x:row>
    <x:row r="24" ht="23" customHeight="1">
      <x:c r="A24" s="4" t="str">
        <x:v>Five packs of 20100 extrusion = ten 1220 mm sticks = thirty 397 mm strips. Six cassettes make a nominal 1003 × 1197 mm deck.</x:v>
      </x:c>
      <x:c r="B24" s="4"/>
      <x:c r="C24" s="4"/>
      <x:c r="D24" s="4"/>
      <x:c r="E24" s="4"/>
      <x:c r="F24" s="4"/>
      <x:c r="G24" s="1"/>
      <x:c r="H24" s="1"/>
      <x:c r="I24" s="1"/>
      <x:c r="J24" s="1"/>
      <x:c r="K24" s="1"/>
      <x:c r="L24" s="1"/>
      <x:c r="M24" s="1"/>
    </x:row>
    <x:row r="25" ht="23" customHeight="1">
      <x:c r="A25" s="4"/>
      <x:c r="B25" s="4"/>
      <x:c r="C25" s="4"/>
      <x:c r="D25" s="4"/>
      <x:c r="E25" s="4"/>
      <x:c r="F25" s="4"/>
      <x:c r="G25" s="1"/>
      <x:c r="H25" s="1"/>
      <x:c r="I25" s="1"/>
      <x:c r="J25" s="1"/>
      <x:c r="K25" s="1"/>
      <x:c r="L25" s="1"/>
      <x:c r="M25" s="1"/>
    </x:row>
    <x:row r="26" ht="23" customHeight="1">
      <x:c r="A26" s="4"/>
      <x:c r="B26" s="4"/>
      <x:c r="C26" s="4"/>
      <x:c r="D26" s="4"/>
      <x:c r="E26" s="4"/>
      <x:c r="F26" s="4"/>
      <x:c r="G26" s="1"/>
      <x:c r="H26" s="1"/>
      <x:c r="I26" s="1"/>
      <x:c r="J26" s="1"/>
      <x:c r="K26" s="1"/>
      <x:c r="L26" s="1"/>
      <x:c r="M26" s="1"/>
    </x:row>
    <x:row r="27" ht="23" customHeight="1">
      <x:c r="A27" s="12" t="str">
        <x:v>Controller</x:v>
      </x:c>
      <x:c r="B27" s="4"/>
      <x:c r="C27" s="4"/>
      <x:c r="D27" s="4"/>
      <x:c r="E27" s="4"/>
      <x:c r="F27" s="4"/>
      <x:c r="G27" s="1"/>
      <x:c r="H27" s="1"/>
      <x:c r="I27" s="1"/>
      <x:c r="J27" s="1"/>
      <x:c r="K27" s="1"/>
      <x:c r="L27" s="1"/>
      <x:c r="M27" s="1"/>
    </x:row>
    <x:row r="28" ht="23" customHeight="1">
      <x:c r="A28" s="4" t="str">
        <x:v>Kraken V1.1 uses four onboard drivers. No external stepper-driver boxes are added. Host hardware remains budgeted; reuse of a suitable PC could remove the host allowance.</x:v>
      </x:c>
      <x:c r="B28" s="4"/>
      <x:c r="C28" s="4"/>
      <x:c r="D28" s="4"/>
      <x:c r="E28" s="4"/>
      <x:c r="F28" s="4"/>
      <x:c r="G28" s="1"/>
      <x:c r="H28" s="1"/>
      <x:c r="I28" s="1"/>
      <x:c r="J28" s="1"/>
      <x:c r="K28" s="1"/>
      <x:c r="L28" s="1"/>
      <x:c r="M28" s="1"/>
    </x:row>
    <x:row r="29" ht="23" customHeight="1">
      <x:c r="A29" s="4"/>
      <x:c r="B29" s="4"/>
      <x:c r="C29" s="4"/>
      <x:c r="D29" s="4"/>
      <x:c r="E29" s="4"/>
      <x:c r="F29" s="4"/>
      <x:c r="G29" s="1"/>
      <x:c r="H29" s="1"/>
      <x:c r="I29" s="1"/>
      <x:c r="J29" s="1"/>
      <x:c r="K29" s="1"/>
      <x:c r="L29" s="1"/>
      <x:c r="M29" s="1"/>
    </x:row>
    <x:row r="30" ht="23" customHeight="1">
      <x:c r="A30" s="4"/>
      <x:c r="B30" s="4"/>
      <x:c r="C30" s="4"/>
      <x:c r="D30" s="4"/>
      <x:c r="E30" s="4"/>
      <x:c r="F30" s="4"/>
      <x:c r="G30" s="1"/>
      <x:c r="H30" s="1"/>
      <x:c r="I30" s="1"/>
      <x:c r="J30" s="1"/>
      <x:c r="K30" s="1"/>
      <x:c r="L30" s="1"/>
      <x:c r="M30" s="1"/>
    </x:row>
    <x:row r="31" ht="23" customHeight="1">
      <x:c r="A31" s="12" t="str">
        <x:v>Owned equipment</x:v>
      </x:c>
      <x:c r="B31" s="4"/>
      <x:c r="C31" s="4"/>
      <x:c r="D31" s="4"/>
      <x:c r="E31" s="4"/>
      <x:c r="F31" s="4"/>
      <x:c r="G31" s="1"/>
      <x:c r="H31" s="1"/>
      <x:c r="I31" s="1"/>
      <x:c r="J31" s="1"/>
      <x:c r="K31" s="1"/>
      <x:c r="L31" s="1"/>
      <x:c r="M31" s="1"/>
    </x:row>
    <x:row r="32" ht="23" customHeight="1">
      <x:c r="A32" s="4" t="str">
        <x:v>Compressor and existing cutter/torch are not repurchased. Exact cutter compatibility is still unresolved. CV-15HS is a vacuum generator, not a water pump.</x:v>
      </x:c>
      <x:c r="B32" s="4"/>
      <x:c r="C32" s="4"/>
      <x:c r="D32" s="4"/>
      <x:c r="E32" s="4"/>
      <x:c r="F32" s="4"/>
      <x:c r="G32" s="1"/>
      <x:c r="H32" s="1"/>
      <x:c r="I32" s="1"/>
      <x:c r="J32" s="1"/>
      <x:c r="K32" s="1"/>
      <x:c r="L32" s="1"/>
      <x:c r="M32" s="1"/>
    </x:row>
    <x:row r="33" ht="23" customHeight="1">
      <x:c r="A33" s="4"/>
      <x:c r="B33" s="4"/>
      <x:c r="C33" s="4"/>
      <x:c r="D33" s="4"/>
      <x:c r="E33" s="4"/>
      <x:c r="F33" s="4"/>
      <x:c r="G33" s="1"/>
      <x:c r="H33" s="1"/>
      <x:c r="I33" s="1"/>
      <x:c r="J33" s="1"/>
      <x:c r="K33" s="1"/>
      <x:c r="L33" s="1"/>
      <x:c r="M33" s="1"/>
    </x:row>
    <x:row r="34" ht="23" customHeight="1">
      <x:c r="A34" s="4"/>
      <x:c r="B34" s="4"/>
      <x:c r="C34" s="4"/>
      <x:c r="D34" s="4"/>
      <x:c r="E34" s="4"/>
      <x:c r="F34" s="4"/>
      <x:c r="G34" s="1"/>
      <x:c r="H34" s="1"/>
      <x:c r="I34" s="1"/>
      <x:c r="J34" s="1"/>
      <x:c r="K34" s="1"/>
      <x:c r="L34" s="1"/>
      <x:c r="M34" s="1"/>
    </x:row>
    <x:row r="35" ht="23" customHeight="1">
      <x:c r="A35" s="12" t="str">
        <x:v>Excluded costs</x:v>
      </x:c>
      <x:c r="B35" s="4"/>
      <x:c r="C35" s="4"/>
      <x:c r="D35" s="4"/>
      <x:c r="E35" s="4"/>
      <x:c r="F35" s="4"/>
      <x:c r="G35" s="1"/>
      <x:c r="H35" s="1"/>
      <x:c r="I35" s="1"/>
      <x:c r="J35" s="1"/>
      <x:c r="K35" s="1"/>
      <x:c r="L35" s="1"/>
      <x:c r="M35" s="1"/>
    </x:row>
    <x:row r="36" ht="34" customHeight="1">
      <x:c r="A36" s="4" t="str">
        <x:v>Sales tax and any import tariff; Owner fabrication/machining labor and any separately commissioned outside-shop work; Dust/fume extraction and air treatment if not already owned; Replacement plasma cutter or machine torch if existing equipment is incompatible; Unselected Z brake/counterbalance and unresolved tool-interface parts beyond allowances; Paid CAD/CAM licenses.</x:v>
      </x:c>
      <x:c r="B36" s="4"/>
      <x:c r="C36" s="4"/>
      <x:c r="D36" s="4"/>
      <x:c r="E36" s="4"/>
      <x:c r="F36" s="4"/>
      <x:c r="G36" s="1"/>
      <x:c r="H36" s="1"/>
      <x:c r="I36" s="1"/>
      <x:c r="J36" s="1"/>
      <x:c r="K36" s="1"/>
      <x:c r="L36" s="1"/>
      <x:c r="M36" s="1"/>
    </x:row>
    <x:row r="37" ht="34" customHeight="1">
      <x:c r="A37" s="4"/>
      <x:c r="B37" s="4"/>
      <x:c r="C37" s="4"/>
      <x:c r="D37" s="4"/>
      <x:c r="E37" s="4"/>
      <x:c r="F37" s="4"/>
      <x:c r="G37" s="1"/>
      <x:c r="H37" s="1"/>
      <x:c r="I37" s="1"/>
      <x:c r="J37" s="1"/>
      <x:c r="K37" s="1"/>
      <x:c r="L37" s="1"/>
      <x:c r="M37" s="1"/>
    </x:row>
    <x:row r="38" ht="23" customHeight="1">
      <x:c r="A38" s="4"/>
      <x:c r="B38" s="4"/>
      <x:c r="C38" s="4"/>
      <x:c r="D38" s="4"/>
      <x:c r="E38" s="4"/>
      <x:c r="F38" s="4"/>
      <x:c r="G38" s="1"/>
      <x:c r="H38" s="1"/>
      <x:c r="I38" s="1"/>
      <x:c r="J38" s="1"/>
      <x:c r="K38" s="1"/>
      <x:c r="L38" s="1"/>
      <x:c r="M38" s="1"/>
    </x:row>
    <x:row r="39" ht="23" customHeight="1">
      <x:c r="A39" s="12" t="str">
        <x:v>Status</x:v>
      </x:c>
      <x:c r="B39" s="4"/>
      <x:c r="C39" s="4"/>
      <x:c r="D39" s="4"/>
      <x:c r="E39" s="4"/>
      <x:c r="F39" s="4"/>
      <x:c r="G39" s="1"/>
      <x:c r="H39" s="1"/>
      <x:c r="I39" s="1"/>
      <x:c r="J39" s="1"/>
      <x:c r="K39" s="1"/>
      <x:c r="L39" s="1"/>
      <x:c r="M39" s="1"/>
    </x:row>
    <x:row r="40" ht="23" customHeight="1">
      <x:c r="A40" s="4" t="str">
        <x:v>Engineering design in progress. This workbook supersedes the old $9,114 workbook and the coarse $5,745 estimate; it is not a purchasing authorization or manufacturing release.</x:v>
      </x:c>
      <x:c r="B40" s="4"/>
      <x:c r="C40" s="4"/>
      <x:c r="D40" s="4"/>
      <x:c r="E40" s="4"/>
      <x:c r="F40" s="4"/>
      <x:c r="G40" s="1"/>
      <x:c r="H40" s="1"/>
      <x:c r="I40" s="1"/>
      <x:c r="J40" s="1"/>
      <x:c r="K40" s="1"/>
      <x:c r="L40" s="1"/>
      <x:c r="M40" s="1"/>
    </x:row>
    <x:row r="41" ht="23" customHeight="1">
      <x:c r="A41" s="4"/>
      <x:c r="B41" s="4"/>
      <x:c r="C41" s="4"/>
      <x:c r="D41" s="4"/>
      <x:c r="E41" s="4"/>
      <x:c r="F41" s="4"/>
      <x:c r="G41" s="1"/>
      <x:c r="H41" s="1"/>
      <x:c r="I41" s="1"/>
      <x:c r="J41" s="1"/>
      <x:c r="K41" s="1"/>
      <x:c r="L41" s="1"/>
      <x:c r="M41" s="1"/>
    </x:row>
    <x:row r="42" ht="23" customHeight="1">
      <x:c r="A42" s="4"/>
      <x:c r="B42" s="4"/>
      <x:c r="C42" s="4"/>
      <x:c r="D42" s="4"/>
      <x:c r="E42" s="4"/>
      <x:c r="F42" s="4"/>
      <x:c r="G42" s="1"/>
      <x:c r="H42" s="1"/>
      <x:c r="I42" s="1"/>
      <x:c r="J42" s="1"/>
      <x:c r="K42" s="1"/>
      <x:c r="L42" s="1"/>
      <x:c r="M42" s="1"/>
    </x:row>
    <x:row r="43" ht="23" customHeight="1">
      <x:c r="A43" s="4"/>
      <x:c r="B43" s="4"/>
      <x:c r="C43" s="4"/>
      <x:c r="D43" s="4"/>
      <x:c r="E43" s="4"/>
      <x:c r="F43" s="4"/>
      <x:c r="G43" s="1"/>
      <x:c r="H43" s="1"/>
      <x:c r="I43" s="1"/>
      <x:c r="J43" s="1"/>
      <x:c r="K43" s="1"/>
      <x:c r="L43" s="1"/>
      <x:c r="M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</x:sheetData>
  <x:mergeCells>
    <x:mergeCell ref="A1:F1"/>
    <x:mergeCell ref="A2:F2"/>
    <x:mergeCell ref="A4:D4"/>
    <x:mergeCell ref="E4:F4"/>
    <x:mergeCell ref="A5:F6"/>
    <x:mergeCell ref="A8:D8"/>
    <x:mergeCell ref="E8:F8"/>
    <x:mergeCell ref="A9:D9"/>
    <x:mergeCell ref="E9:F9"/>
    <x:mergeCell ref="A11:D11"/>
    <x:mergeCell ref="E11:F11"/>
    <x:mergeCell ref="A12:D12"/>
    <x:mergeCell ref="E12:F12"/>
    <x:mergeCell ref="A13:D13"/>
    <x:mergeCell ref="E13:F13"/>
    <x:mergeCell ref="A14:D14"/>
    <x:mergeCell ref="E14:F14"/>
    <x:mergeCell ref="A15:D15"/>
    <x:mergeCell ref="E15:F15"/>
    <x:mergeCell ref="A16:D16"/>
    <x:mergeCell ref="E16:F16"/>
    <x:mergeCell ref="A17:D17"/>
    <x:mergeCell ref="E17:F17"/>
    <x:mergeCell ref="A18:D18"/>
    <x:mergeCell ref="E18:F18"/>
    <x:mergeCell ref="A19:D19"/>
    <x:mergeCell ref="E19:F19"/>
    <x:mergeCell ref="A20:D20"/>
    <x:mergeCell ref="E20:F20"/>
    <x:mergeCell ref="A21:D21"/>
    <x:mergeCell ref="E21:F21"/>
    <x:mergeCell ref="A23:F23"/>
    <x:mergeCell ref="A24:F25"/>
    <x:mergeCell ref="A27:F27"/>
    <x:mergeCell ref="A28:F29"/>
    <x:mergeCell ref="A31:F31"/>
    <x:mergeCell ref="A32:F33"/>
    <x:mergeCell ref="A35:F35"/>
    <x:mergeCell ref="A36:F37"/>
    <x:mergeCell ref="A39:F39"/>
    <x:mergeCell ref="A40:F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.630000114440918" hidden="0" customWidth="1"/>
    <x:col min="2" max="2" width="15.630000114440918" hidden="0" customWidth="1"/>
    <x:col min="3" max="3" width="45" hidden="0" customWidth="1"/>
    <x:col min="4" max="4" width="5.630000114440918" hidden="0" customWidth="1"/>
    <x:col min="5" max="5" width="10" hidden="0" customWidth="1"/>
    <x:col min="6" max="6" width="10.630000114440918" hidden="0" customWidth="1"/>
    <x:col min="7" max="7" width="11.25" hidden="0" customWidth="1"/>
    <x:col min="8" max="8" width="12.5" hidden="0" customWidth="1"/>
    <x:col min="9" max="9" width="11.25" hidden="0" customWidth="1"/>
    <x:col min="10" max="10" width="12.5" hidden="0" customWidth="1"/>
    <x:col min="11" max="11" width="13.75" hidden="0" customWidth="1"/>
    <x:col min="12" max="12" width="35" hidden="0" customWidth="1"/>
    <x:col min="13" max="13" width="55" hidden="0" customWidth="1"/>
  </x:cols>
  <x:sheetData>
    <x:row r="1" ht="38" customHeight="1">
      <x:c r="A1" s="18" t="str">
        <x:v>RevE | Parts, price evidence and allowances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</x:row>
    <x:row r="2">
      <x:c r="A2" s="1" t="str">
        <x:v>USD • Alto, GA 30510 • observed September 24, 2026 • planning estimate, no purchasing release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Blank delivery charges are unquoted, not free. The $300 reserve covers unquoted delivery in the estimate. Observed offers are not completed checkout quotes. Quantities remain tied to the engineering CAD revision.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44" customHeight="1">
      <x:c r="A6" s="29" t="str">
        <x:v>ID</x:v>
      </x:c>
      <x:c r="B6" s="29" t="str">
        <x:v>Category</x:v>
      </x:c>
      <x:c r="C6" s="29" t="str">
        <x:v>Item / specification</x:v>
      </x:c>
      <x:c r="D6" s="29" t="str">
        <x:v>Qty</x:v>
      </x:c>
      <x:c r="E6" s="29" t="str">
        <x:v>Unit</x:v>
      </x:c>
      <x:c r="F6" s="29" t="str">
        <x:v>Unit $</x:v>
      </x:c>
      <x:c r="G6" s="29" t="str">
        <x:v>Price basis</x:v>
      </x:c>
      <x:c r="H6" s="29" t="str">
        <x:v>Known ship $</x:v>
      </x:c>
      <x:c r="I6" s="29" t="str">
        <x:v>Goods $</x:v>
      </x:c>
      <x:c r="J6" s="29" t="str">
        <x:v>Planning line $</x:v>
      </x:c>
      <x:c r="K6" s="29" t="str">
        <x:v>Shipping status</x:v>
      </x:c>
      <x:c r="L6" s="29" t="str">
        <x:v>Source</x:v>
      </x:c>
      <x:c r="M6" s="29" t="str">
        <x:v>Fit / scope notes</x:v>
      </x:c>
    </x:row>
    <x:row r="7" ht="90" customHeight="1">
      <x:c r="A7" s="8" t="str">
        <x:v>M01</x:v>
      </x:c>
      <x:c r="B7" s="8" t="str">
        <x:v>Motion</x:v>
      </x:c>
      <x:c r="C7" s="8" t="str">
        <x:v>KHMOS HMS40 X module, 800 mm stroke</x:v>
      </x:c>
      <x:c r="D7" s="8" t="n">
        <x:v>1</x:v>
      </x:c>
      <x:c r="E7" s="8" t="str">
        <x:v>each</x:v>
      </x:c>
      <x:c r="F7" s="9" t="n">
        <x:v>236</x:v>
      </x:c>
      <x:c r="G7" s="9" t="str">
        <x:v>Observed</x:v>
      </x:c>
      <x:c r="H7" s="9" t="n">
        <x:v>0</x:v>
      </x:c>
      <x:c r="I7" s="9" t="n">
        <x:f>D7*F7</x:f>
        <x:v>236</x:v>
      </x:c>
      <x:c r="J7" s="9" t="n">
        <x:f>I7+IF(ISNUMBER(H7),H7,0)</x:f>
        <x:v>236</x:v>
      </x:c>
      <x:c r="K7" s="8" t="str">
        <x:v>Advertised free</x:v>
      </x:c>
      <x:c r="L7" s="8" t="str">
        <x:v>https://www.amazon.com/dp/B0C7GQTRRX</x:v>
      </x:c>
      <x:c r="M7" s="8" t="str">
        <x:v>Advertised offer to Alto 30510; no order placed.</x:v>
      </x:c>
    </x:row>
    <x:row r="8" ht="90" customHeight="1">
      <x:c r="A8" s="8" t="str">
        <x:v>M02</x:v>
      </x:c>
      <x:c r="B8" s="8" t="str">
        <x:v>Motion</x:v>
      </x:c>
      <x:c r="C8" s="8" t="str">
        <x:v>KHMOS HMS40 Y module, 1000 mm stroke</x:v>
      </x:c>
      <x:c r="D8" s="8" t="n">
        <x:v>2</x:v>
      </x:c>
      <x:c r="E8" s="8" t="str">
        <x:v>each</x:v>
      </x:c>
      <x:c r="F8" s="9" t="n">
        <x:v>260</x:v>
      </x:c>
      <x:c r="G8" s="9" t="str">
        <x:v>Observed</x:v>
      </x:c>
      <x:c r="H8" s="9" t="n">
        <x:v>0</x:v>
      </x:c>
      <x:c r="I8" s="9" t="n">
        <x:f>D8*F8</x:f>
        <x:v>520</x:v>
      </x:c>
      <x:c r="J8" s="9" t="n">
        <x:f>I8+IF(ISNUMBER(H8),H8,0)</x:f>
        <x:v>520</x:v>
      </x:c>
      <x:c r="K8" s="8" t="str">
        <x:v>Advertised free</x:v>
      </x:c>
      <x:c r="L8" s="8" t="str">
        <x:v>https://www.amazon.com/dp/B0C7GN24S1</x:v>
      </x:c>
      <x:c r="M8" s="8" t="str">
        <x:v>Advertised offer to Alto 30510; no order placed.</x:v>
      </x:c>
    </x:row>
    <x:row r="9" ht="90" customHeight="1">
      <x:c r="A9" s="8" t="str">
        <x:v>M03</x:v>
      </x:c>
      <x:c r="B9" s="8" t="str">
        <x:v>Motion</x:v>
      </x:c>
      <x:c r="C9" s="8" t="str">
        <x:v>RATTMMOTOR ZBX80 Z module, 100 mm stroke</x:v>
      </x:c>
      <x:c r="D9" s="8" t="n">
        <x:v>1</x:v>
      </x:c>
      <x:c r="E9" s="8" t="str">
        <x:v>each</x:v>
      </x:c>
      <x:c r="F9" s="9" t="n">
        <x:v>112</x:v>
      </x:c>
      <x:c r="G9" s="9" t="str">
        <x:v>Observed</x:v>
      </x:c>
      <x:c r="H9" s="9" t="n">
        <x:v>0</x:v>
      </x:c>
      <x:c r="I9" s="9" t="n">
        <x:f>D9*F9</x:f>
        <x:v>112</x:v>
      </x:c>
      <x:c r="J9" s="9" t="n">
        <x:f>I9+IF(ISNUMBER(H9),H9,0)</x:f>
        <x:v>112</x:v>
      </x:c>
      <x:c r="K9" s="8" t="str">
        <x:v>Advertised free</x:v>
      </x:c>
      <x:c r="L9" s="8" t="str">
        <x:v>https://www.amazon.com/dp/B09MVYGLNQ</x:v>
      </x:c>
      <x:c r="M9" s="8" t="str">
        <x:v>Output along-axis hole spacing, thread/depth and assembled output height unresolved in published supplier drawings.</x:v>
      </x:c>
    </x:row>
    <x:row r="10" ht="90" customHeight="1">
      <x:c r="A10" s="8" t="str">
        <x:v>M04</x:v>
      </x:c>
      <x:c r="B10" s="8" t="str">
        <x:v>Motion</x:v>
      </x:c>
      <x:c r="C10" s="8" t="str">
        <x:v>iMetrx HGR20 kit, two 1500 mm rails and four HGH20CA blocks</x:v>
      </x:c>
      <x:c r="D10" s="8" t="n">
        <x:v>1</x:v>
      </x:c>
      <x:c r="E10" s="8" t="str">
        <x:v>each</x:v>
      </x:c>
      <x:c r="F10" s="9" t="n">
        <x:v>109.99</x:v>
      </x:c>
      <x:c r="G10" s="9" t="str">
        <x:v>Observed</x:v>
      </x:c>
      <x:c r="H10" s="9" t="n">
        <x:v>0</x:v>
      </x:c>
      <x:c r="I10" s="9" t="n">
        <x:f>D10*F10</x:f>
        <x:v>109.99</x:v>
      </x:c>
      <x:c r="J10" s="9" t="n">
        <x:f>I10+IF(ISNUMBER(H10),H10,0)</x:f>
        <x:v>109.99</x:v>
      </x:c>
      <x:c r="K10" s="8" t="str">
        <x:v>Advertised free</x:v>
      </x:c>
      <x:c r="L10" s="8" t="str">
        <x:v>https://www.amazon.com/dp/B0FFMMPC3B</x:v>
      </x:c>
      <x:c r="M10" s="8" t="str">
        <x:v>Two Y rails trimmed to final CAD length; four blocks.</x:v>
      </x:c>
    </x:row>
    <x:row r="11" ht="90" customHeight="1">
      <x:c r="A11" s="8" t="str">
        <x:v>M05</x:v>
      </x:c>
      <x:c r="B11" s="8" t="str">
        <x:v>Motion</x:v>
      </x:c>
      <x:c r="C11" s="8" t="str">
        <x:v>iMetrx HGR20 kit, two 1200 mm rails and four HGH20CA blocks</x:v>
      </x:c>
      <x:c r="D11" s="8" t="n">
        <x:v>1</x:v>
      </x:c>
      <x:c r="E11" s="8" t="str">
        <x:v>each</x:v>
      </x:c>
      <x:c r="F11" s="9" t="n">
        <x:v>79.99</x:v>
      </x:c>
      <x:c r="G11" s="9" t="str">
        <x:v>Observed</x:v>
      </x:c>
      <x:c r="H11" s="9" t="n">
        <x:v>0</x:v>
      </x:c>
      <x:c r="I11" s="9" t="n">
        <x:f>D11*F11</x:f>
        <x:v>79.99</x:v>
      </x:c>
      <x:c r="J11" s="9" t="n">
        <x:f>I11+IF(ISNUMBER(H11),H11,0)</x:f>
        <x:v>79.99</x:v>
      </x:c>
      <x:c r="K11" s="8" t="str">
        <x:v>Advertised free</x:v>
      </x:c>
      <x:c r="L11" s="8" t="str">
        <x:v>https://www.amazon.com/dp/B0FFMN9KNC</x:v>
      </x:c>
      <x:c r="M11" s="8" t="str">
        <x:v>Both X rails and all four blocks used; no spare X rail.</x:v>
      </x:c>
    </x:row>
    <x:row r="12" ht="90" customHeight="1">
      <x:c r="A12" s="8" t="str">
        <x:v>B01</x:v>
      </x:c>
      <x:c r="B12" s="8" t="str">
        <x:v>Router bed</x:v>
      </x:c>
      <x:c r="C12" s="8" t="str">
        <x:v>IXGNIJ 20100 T-slot extrusion, two 1220 mm sticks per pack</x:v>
      </x:c>
      <x:c r="D12" s="8" t="n">
        <x:v>5</x:v>
      </x:c>
      <x:c r="E12" s="8" t="str">
        <x:v>pack</x:v>
      </x:c>
      <x:c r="F12" s="9" t="n">
        <x:v>79.99</x:v>
      </x:c>
      <x:c r="G12" s="9" t="str">
        <x:v>Observed</x:v>
      </x:c>
      <x:c r="H12" s="9" t="n">
        <x:v>0</x:v>
      </x:c>
      <x:c r="I12" s="9" t="n">
        <x:f>D12*F12</x:f>
        <x:v>399.95</x:v>
      </x:c>
      <x:c r="J12" s="9" t="n">
        <x:f>I12+IF(ISNUMBER(H12),H12,0)</x:f>
        <x:v>399.95</x:v>
      </x:c>
      <x:c r="K12" s="8" t="str">
        <x:v>Advertised free</x:v>
      </x:c>
      <x:c r="L12" s="8" t="str">
        <x:v>https://www.amazon.com/dp/B0BXNWK99C</x:v>
      </x:c>
      <x:c r="M12" s="8" t="str">
        <x:v>Ten sticks yield thirty 397 mm strips for six 500x397 mm cassettes; three cuts per stick with 3 mm kerf leaves20 mm before end trimming.</x:v>
      </x:c>
    </x:row>
    <x:row r="13" ht="90" customHeight="1">
      <x:c r="A13" s="8" t="str">
        <x:v>R01</x:v>
      </x:c>
      <x:c r="B13" s="8" t="str">
        <x:v>Router head</x:v>
      </x:c>
      <x:c r="C13" s="8" t="str">
        <x:v>Zhong Hua Jiang 110 V 1.5 kW air-cooled spindle kit, 65 mm, ER11</x:v>
      </x:c>
      <x:c r="D13" s="8" t="n">
        <x:v>1</x:v>
      </x:c>
      <x:c r="E13" s="8" t="str">
        <x:v>each</x:v>
      </x:c>
      <x:c r="F13" s="9" t="n">
        <x:v>309.99</x:v>
      </x:c>
      <x:c r="G13" s="9" t="str">
        <x:v>Observed</x:v>
      </x:c>
      <x:c r="H13" s="9" t="n">
        <x:v>0</x:v>
      </x:c>
      <x:c r="I13" s="9" t="n">
        <x:f>D13*F13</x:f>
        <x:v>309.99</x:v>
      </x:c>
      <x:c r="J13" s="9" t="n">
        <x:f>I13+IF(ISNUMBER(H13),H13,0)</x:f>
        <x:v>309.99</x:v>
      </x:c>
      <x:c r="K13" s="8" t="str">
        <x:v>Advertised free</x:v>
      </x:c>
      <x:c r="L13" s="8" t="str">
        <x:v>https://www.amazon.com/dp/B0BF5R3LNC</x:v>
      </x:c>
      <x:c r="M13" s="8" t="str">
        <x:v>Spindle, matching VFD, mounting clamp and supplied kit wires; verify exact variant at purchase.</x:v>
      </x:c>
    </x:row>
    <x:row r="14" ht="90" customHeight="1">
      <x:c r="A14" s="8" t="str">
        <x:v>S01</x:v>
      </x:c>
      <x:c r="B14" s="8" t="str">
        <x:v>Chassis</x:v>
      </x:c>
      <x:c r="C14" s="8" t="str">
        <x:v>2 x 2 x .120 inch steel tube, full 20-foot bars</x:v>
      </x:c>
      <x:c r="D14" s="8" t="n">
        <x:v>6</x:v>
      </x:c>
      <x:c r="E14" s="8" t="str">
        <x:v>bar</x:v>
      </x:c>
      <x:c r="F14" s="9" t="n">
        <x:v>100</x:v>
      </x:c>
      <x:c r="G14" s="9" t="str">
        <x:v>Allowance</x:v>
      </x:c>
      <x:c r="H14" s="9"/>
      <x:c r="I14" s="9" t="n">
        <x:f>D14*F14</x:f>
        <x:v>600</x:v>
      </x:c>
      <x:c r="J14" s="9" t="n">
        <x:f>I14+IF(ISNUMBER(H14),H14,0)</x:f>
        <x:v>600</x:v>
      </x:c>
      <x:c r="K14" s="8" t="str">
        <x:v>Unquoted</x:v>
      </x:c>
      <x:c r="L14" s="8" t="str">
        <x:v>https://steelmartatlanta.com/steelmart-gainesville-ga/</x:v>
      </x:c>
      <x:c r="M14" s="8" t="str">
        <x:v>Local quote target only. Public online alternatives are $155.15/bar at BlueSky or $200.75/bar at OnlineMetals, both before unquoted freight. See METAL-SOURCING.md. Quantity from current CAD tube-cut plan; cutting unquoted.</x:v>
      </x:c>
    </x:row>
    <x:row r="15" ht="90" customHeight="1">
      <x:c r="A15" s="8" t="str">
        <x:v>S02</x:v>
      </x:c>
      <x:c r="B15" s="8" t="str">
        <x:v>Chassis</x:v>
      </x:c>
      <x:c r="C15" s="8" t="str">
        <x:v>1 x 1 x .083 inch brace tube, 20-foot bar</x:v>
      </x:c>
      <x:c r="D15" s="8" t="n">
        <x:v>1</x:v>
      </x:c>
      <x:c r="E15" s="8" t="str">
        <x:v>bar</x:v>
      </x:c>
      <x:c r="F15" s="9" t="n">
        <x:v>40</x:v>
      </x:c>
      <x:c r="G15" s="9" t="str">
        <x:v>Allowance</x:v>
      </x:c>
      <x:c r="H15" s="9"/>
      <x:c r="I15" s="9" t="n">
        <x:f>D15*F15</x:f>
        <x:v>40</x:v>
      </x:c>
      <x:c r="J15" s="9" t="n">
        <x:f>I15+IF(ISNUMBER(H15),H15,0)</x:f>
        <x:v>40</x:v>
      </x:c>
      <x:c r="K15" s="8" t="str">
        <x:v>Unquoted</x:v>
      </x:c>
      <x:c r="L15" s="8" t="str">
        <x:v>https://steelmartatlanta.com/steelmart-gainesville-ga/</x:v>
      </x:c>
      <x:c r="M15" s="8" t="str">
        <x:v>Final brace takeoff in CAD cut list; do not substitute the old angle-brace schedule.</x:v>
      </x:c>
    </x:row>
    <x:row r="16" ht="90" customHeight="1">
      <x:c r="A16" s="8" t="str">
        <x:v>S03</x:v>
      </x:c>
      <x:c r="B16" s="8" t="str">
        <x:v>Chassis</x:v>
      </x:c>
      <x:c r="C16" s="8" t="str">
        <x:v>Rail datum-cap steel blanks</x:v>
      </x:c>
      <x:c r="D16" s="8" t="n">
        <x:v>2</x:v>
      </x:c>
      <x:c r="E16" s="8" t="str">
        <x:v>blank</x:v>
      </x:c>
      <x:c r="F16" s="9" t="n">
        <x:v>60</x:v>
      </x:c>
      <x:c r="G16" s="9" t="str">
        <x:v>Allowance</x:v>
      </x:c>
      <x:c r="H16" s="9"/>
      <x:c r="I16" s="9" t="n">
        <x:f>D16*F16</x:f>
        <x:v>120</x:v>
      </x:c>
      <x:c r="J16" s="9" t="n">
        <x:f>I16+IF(ISNUMBER(H16),H16,0)</x:f>
        <x:v>120</x:v>
      </x:c>
      <x:c r="K16" s="8" t="str">
        <x:v>Unquoted</x:v>
      </x:c>
      <x:c r="L16" s="8" t="str">
        <x:v>https://steelmartatlanta.com/steelmart-gainesville-ga/</x:v>
      </x:c>
      <x:c r="M16" s="8" t="str">
        <x:v>Finish dimensions and machining per motion CAD.</x:v>
      </x:c>
    </x:row>
    <x:row r="17" ht="90" customHeight="1">
      <x:c r="A17" s="8" t="str">
        <x:v>S04</x:v>
      </x:c>
      <x:c r="B17" s="8" t="str">
        <x:v>Chassis</x:v>
      </x:c>
      <x:c r="C17" s="8" t="str">
        <x:v>Steel flat parts, foot pads, seats and gussets</x:v>
      </x:c>
      <x:c r="D17" s="8" t="n">
        <x:v>1</x:v>
      </x:c>
      <x:c r="E17" s="8" t="str">
        <x:v>lot</x:v>
      </x:c>
      <x:c r="F17" s="9" t="n">
        <x:v>160</x:v>
      </x:c>
      <x:c r="G17" s="9" t="str">
        <x:v>Allowance</x:v>
      </x:c>
      <x:c r="H17" s="9"/>
      <x:c r="I17" s="9" t="n">
        <x:f>D17*F17</x:f>
        <x:v>160</x:v>
      </x:c>
      <x:c r="J17" s="9" t="n">
        <x:f>I17+IF(ISNUMBER(H17),H17,0)</x:f>
        <x:v>160</x:v>
      </x:c>
      <x:c r="K17" s="8" t="str">
        <x:v>Unquoted</x:v>
      </x:c>
      <x:c r="L17" s="8" t="str">
        <x:v>https://steelmartatlanta.com/steelmart-gainesville-ga/</x:v>
      </x:c>
      <x:c r="M17" s="8" t="str">
        <x:v>Cut blanks only; not a requirement to buy every illustrated full nesting sheet.</x:v>
      </x:c>
    </x:row>
    <x:row r="18" ht="90" customHeight="1">
      <x:c r="A18" s="8" t="str">
        <x:v>S05</x:v>
      </x:c>
      <x:c r="B18" s="8" t="str">
        <x:v>Water metal</x:v>
      </x:c>
      <x:c r="C18" s="8" t="str">
        <x:v>0.120 inch steel sheet, 4 x 8 feet</x:v>
      </x:c>
      <x:c r="D18" s="8" t="n">
        <x:v>2</x:v>
      </x:c>
      <x:c r="E18" s="8" t="str">
        <x:v>sheet</x:v>
      </x:c>
      <x:c r="F18" s="9" t="n">
        <x:v>180</x:v>
      </x:c>
      <x:c r="G18" s="9" t="str">
        <x:v>Allowance</x:v>
      </x:c>
      <x:c r="H18" s="9"/>
      <x:c r="I18" s="9" t="n">
        <x:f>D18*F18</x:f>
        <x:v>360</x:v>
      </x:c>
      <x:c r="J18" s="9" t="n">
        <x:f>I18+IF(ISNUMBER(H18),H18,0)</x:f>
        <x:v>360</x:v>
      </x:c>
      <x:c r="K18" s="8" t="str">
        <x:v>Unquoted</x:v>
      </x:c>
      <x:c r="L18" s="8" t="str">
        <x:v>https://steelmartatlanta.com/steelmart-gainesville-ga/</x:v>
      </x:c>
      <x:c r="M18" s="8" t="str">
        <x:v>Pan, slats and vented reservoir nested together; use final thickness-specific DXFs.</x:v>
      </x:c>
    </x:row>
    <x:row r="19" ht="90" customHeight="1">
      <x:c r="A19" s="8" t="str">
        <x:v>S06</x:v>
      </x:c>
      <x:c r="B19" s="8" t="str">
        <x:v>Chassis</x:v>
      </x:c>
      <x:c r="C19" s="8" t="str">
        <x:v>Appearance skins and removable access covers</x:v>
      </x:c>
      <x:c r="D19" s="8" t="n">
        <x:v>1</x:v>
      </x:c>
      <x:c r="E19" s="8" t="str">
        <x:v>lot</x:v>
      </x:c>
      <x:c r="F19" s="9" t="n">
        <x:v>200</x:v>
      </x:c>
      <x:c r="G19" s="9" t="str">
        <x:v>Allowance</x:v>
      </x:c>
      <x:c r="H19" s="9"/>
      <x:c r="I19" s="9" t="n">
        <x:f>D19*F19</x:f>
        <x:v>200</x:v>
      </x:c>
      <x:c r="J19" s="9" t="n">
        <x:f>I19+IF(ISNUMBER(H19),H19,0)</x:f>
        <x:v>200</x:v>
      </x:c>
      <x:c r="K19" s="8" t="str">
        <x:v>Unquoted</x:v>
      </x:c>
      <x:c r="L19" s="8" t="str">
        <x:v>https://steelmartatlanta.com/steelmart-gainesville-ga/</x:v>
      </x:c>
      <x:c r="M19" s="8" t="str">
        <x:v>Finish/access-cover provision; final cut dimensions and material remain unquoted.</x:v>
      </x:c>
    </x:row>
    <x:row r="20" ht="90" customHeight="1">
      <x:c r="A20" s="8" t="str">
        <x:v>S07</x:v>
      </x:c>
      <x:c r="B20" s="8" t="str">
        <x:v>Motion</x:v>
      </x:c>
      <x:c r="C20" s="8" t="str">
        <x:v>80/20 standard 40-8080, 1200 mm cut</x:v>
      </x:c>
      <x:c r="D20" s="8" t="n">
        <x:v>1</x:v>
      </x:c>
      <x:c r="E20" s="8" t="str">
        <x:v>each</x:v>
      </x:c>
      <x:c r="F20" s="9" t="n">
        <x:v>151.73</x:v>
      </x:c>
      <x:c r="G20" s="9" t="str">
        <x:v>Observed</x:v>
      </x:c>
      <x:c r="H20" s="9"/>
      <x:c r="I20" s="9" t="n">
        <x:f>D20*F20</x:f>
        <x:v>151.73</x:v>
      </x:c>
      <x:c r="J20" s="9" t="n">
        <x:f>I20+IF(ISNUMBER(H20),H20,0)</x:f>
        <x:v>151.73</x:v>
      </x:c>
      <x:c r="K20" s="8" t="str">
        <x:v>Unquoted</x:v>
      </x:c>
      <x:c r="L20" s="8" t="str">
        <x:v>https://8020.net/40-8080.html</x:v>
      </x:c>
      <x:c r="M20" s="8" t="str">
        <x:v>Posted goods price: 1200 x $0.1231 + $4.01 cut. Freight unknown.</x:v>
      </x:c>
    </x:row>
    <x:row r="21" ht="90" customHeight="1">
      <x:c r="A21" s="8" t="str">
        <x:v>S08</x:v>
      </x:c>
      <x:c r="B21" s="8" t="str">
        <x:v>Motion</x:v>
      </x:c>
      <x:c r="C21" s="8" t="str">
        <x:v>Gantry, guide and head adapter plate stock</x:v>
      </x:c>
      <x:c r="D21" s="8" t="n">
        <x:v>1</x:v>
      </x:c>
      <x:c r="E21" s="8" t="str">
        <x:v>lot</x:v>
      </x:c>
      <x:c r="F21" s="9" t="n">
        <x:v>150</x:v>
      </x:c>
      <x:c r="G21" s="9" t="str">
        <x:v>Allowance</x:v>
      </x:c>
      <x:c r="H21" s="9"/>
      <x:c r="I21" s="9" t="n">
        <x:f>D21*F21</x:f>
        <x:v>150</x:v>
      </x:c>
      <x:c r="J21" s="9" t="n">
        <x:f>I21+IF(ISNUMBER(H21),H21,0)</x:f>
        <x:v>150</x:v>
      </x:c>
      <x:c r="K21" s="8" t="str">
        <x:v>Unquoted</x:v>
      </x:c>
      <x:c r="L21" s="8" t="str">
        <x:v>https://steelmartatlanta.com/steelmart-gainesville-ga/</x:v>
      </x:c>
      <x:c r="M21" s="8" t="str">
        <x:v>Includes dual-X-guide face plate; machining is a separate allowance.</x:v>
      </x:c>
    </x:row>
    <x:row r="22" ht="90" customHeight="1">
      <x:c r="A22" s="8" t="str">
        <x:v>S09</x:v>
      </x:c>
      <x:c r="B22" s="8" t="str">
        <x:v>Router bed</x:v>
      </x:c>
      <x:c r="C22" s="8" t="str">
        <x:v>1 x 1/4 inch aluminum flat bar, twelve 500 mm ties</x:v>
      </x:c>
      <x:c r="D22" s="8" t="n">
        <x:v>1</x:v>
      </x:c>
      <x:c r="E22" s="8" t="str">
        <x:v>lot</x:v>
      </x:c>
      <x:c r="F22" s="9" t="n">
        <x:v>45</x:v>
      </x:c>
      <x:c r="G22" s="9" t="str">
        <x:v>Allowance</x:v>
      </x:c>
      <x:c r="H22" s="9"/>
      <x:c r="I22" s="9" t="n">
        <x:f>D22*F22</x:f>
        <x:v>45</x:v>
      </x:c>
      <x:c r="J22" s="9" t="n">
        <x:f>I22+IF(ISNUMBER(H22),H22,0)</x:f>
        <x:v>45</x:v>
      </x:c>
      <x:c r="K22" s="8" t="str">
        <x:v>Unquoted</x:v>
      </x:c>
      <x:c r="L22" s="8" t="str">
        <x:v>https://steelmartatlanta.com/steelmart-gainesville-ga/</x:v>
      </x:c>
      <x:c r="M22" s="8" t="str">
        <x:v>6 m finished total plus kerfs; order cut blanks or suitable bar lengths.</x:v>
      </x:c>
    </x:row>
    <x:row r="23" ht="90" customHeight="1">
      <x:c r="A23" s="8" t="str">
        <x:v>S10</x:v>
      </x:c>
      <x:c r="B23" s="8" t="str">
        <x:v>Router bed</x:v>
      </x:c>
      <x:c r="C23" s="8" t="str">
        <x:v>3/4 inch MDF, one 4 x 8 foot sheet</x:v>
      </x:c>
      <x:c r="D23" s="8" t="n">
        <x:v>1</x:v>
      </x:c>
      <x:c r="E23" s="8" t="str">
        <x:v>sheet</x:v>
      </x:c>
      <x:c r="F23" s="9" t="n">
        <x:v>55</x:v>
      </x:c>
      <x:c r="G23" s="9" t="str">
        <x:v>Allowance</x:v>
      </x:c>
      <x:c r="H23" s="9"/>
      <x:c r="I23" s="9" t="n">
        <x:f>D23*F23</x:f>
        <x:v>55</x:v>
      </x:c>
      <x:c r="J23" s="9" t="n">
        <x:f>I23+IF(ISNUMBER(H23),H23,0)</x:f>
        <x:v>55</x:v>
      </x:c>
      <x:c r="K23" s="8" t="str">
        <x:v>Unquoted</x:v>
      </x:c>
      <x:c r="L23" s="8" t="str">
        <x:v>https://www.homedepot.com/p/309177124</x:v>
      </x:c>
      <x:c r="M23" s="8" t="str">
        <x:v>Six removable spoilboards plus spare stock. Surface after alignment.</x:v>
      </x:c>
    </x:row>
    <x:row r="24" ht="90" customHeight="1">
      <x:c r="A24" s="8" t="str">
        <x:v>S11</x:v>
      </x:c>
      <x:c r="B24" s="8" t="str">
        <x:v>Chassis</x:v>
      </x:c>
      <x:c r="C24" s="8" t="str">
        <x:v>Dry sand, 50-pound bags</x:v>
      </x:c>
      <x:c r="D24" s="8" t="n">
        <x:v>3</x:v>
      </x:c>
      <x:c r="E24" s="8" t="str">
        <x:v>bag</x:v>
      </x:c>
      <x:c r="F24" s="9" t="n">
        <x:v>12</x:v>
      </x:c>
      <x:c r="G24" s="9" t="str">
        <x:v>Allowance</x:v>
      </x:c>
      <x:c r="H24" s="9"/>
      <x:c r="I24" s="9" t="n">
        <x:f>D24*F24</x:f>
        <x:v>36</x:v>
      </x:c>
      <x:c r="J24" s="9" t="n">
        <x:f>I24+IF(ISNUMBER(H24),H24,0)</x:f>
        <x:v>36</x:v>
      </x:c>
      <x:c r="K24" s="8" t="str">
        <x:v>Unquoted</x:v>
      </x:c>
      <x:c r="L24" s="8" t="str">
        <x:v>Allowance; no supplier quote</x:v>
      </x:c>
      <x:c r="M24" s="8" t="str">
        <x:v>Stationary frame members only; weigh actual fill.</x:v>
      </x:c>
    </x:row>
    <x:row r="25" ht="90" customHeight="1">
      <x:c r="A25" s="8" t="str">
        <x:v>S12</x:v>
      </x:c>
      <x:c r="B25" s="8" t="str">
        <x:v>Chassis</x:v>
      </x:c>
      <x:c r="C25" s="8" t="str">
        <x:v>Primer, graphite finish and finishing consumables</x:v>
      </x:c>
      <x:c r="D25" s="8" t="n">
        <x:v>1</x:v>
      </x:c>
      <x:c r="E25" s="8" t="str">
        <x:v>lot</x:v>
      </x:c>
      <x:c r="F25" s="9" t="n">
        <x:v>100</x:v>
      </x:c>
      <x:c r="G25" s="9" t="str">
        <x:v>Allowance</x:v>
      </x:c>
      <x:c r="H25" s="9"/>
      <x:c r="I25" s="9" t="n">
        <x:f>D25*F25</x:f>
        <x:v>100</x:v>
      </x:c>
      <x:c r="J25" s="9" t="n">
        <x:f>I25+IF(ISNUMBER(H25),H25,0)</x:f>
        <x:v>100</x:v>
      </x:c>
      <x:c r="K25" s="8" t="str">
        <x:v>Unquoted</x:v>
      </x:c>
      <x:c r="L25" s="8" t="str">
        <x:v>Allowance; no supplier quote</x:v>
      </x:c>
      <x:c r="M25" s="8" t="str"/>
    </x:row>
    <x:row r="26" ht="90" customHeight="1">
      <x:c r="A26" s="8" t="str">
        <x:v>H01</x:v>
      </x:c>
      <x:c r="B26" s="8" t="str">
        <x:v>Chassis</x:v>
      </x:c>
      <x:c r="C26" s="8" t="str">
        <x:v>M16 foot adjustment screws, jam nuts and small hardware</x:v>
      </x:c>
      <x:c r="D26" s="8" t="n">
        <x:v>1</x:v>
      </x:c>
      <x:c r="E26" s="8" t="str">
        <x:v>lot</x:v>
      </x:c>
      <x:c r="F26" s="9" t="n">
        <x:v>45</x:v>
      </x:c>
      <x:c r="G26" s="9" t="str">
        <x:v>Allowance</x:v>
      </x:c>
      <x:c r="H26" s="9"/>
      <x:c r="I26" s="9" t="n">
        <x:f>D26*F26</x:f>
        <x:v>45</x:v>
      </x:c>
      <x:c r="J26" s="9" t="n">
        <x:f>I26+IF(ISNUMBER(H26),H26,0)</x:f>
        <x:v>45</x:v>
      </x:c>
      <x:c r="K26" s="8" t="str">
        <x:v>Unquoted</x:v>
      </x:c>
      <x:c r="L26" s="8" t="str">
        <x:v>Allowance; no supplier quote</x:v>
      </x:c>
      <x:c r="M26" s="8" t="str">
        <x:v>Custom steel foot pads already counted in S04.</x:v>
      </x:c>
    </x:row>
    <x:row r="27" ht="90" customHeight="1">
      <x:c r="A27" s="8" t="str">
        <x:v>H02</x:v>
      </x:c>
      <x:c r="B27" s="8" t="str">
        <x:v>Chassis</x:v>
      </x:c>
      <x:c r="C27" s="8" t="str">
        <x:v>Sand-port plugs and seals</x:v>
      </x:c>
      <x:c r="D27" s="8" t="n">
        <x:v>1</x:v>
      </x:c>
      <x:c r="E27" s="8" t="str">
        <x:v>lot</x:v>
      </x:c>
      <x:c r="F27" s="9" t="n">
        <x:v>45</x:v>
      </x:c>
      <x:c r="G27" s="9" t="str">
        <x:v>Allowance</x:v>
      </x:c>
      <x:c r="H27" s="9"/>
      <x:c r="I27" s="9" t="n">
        <x:f>D27*F27</x:f>
        <x:v>45</x:v>
      </x:c>
      <x:c r="J27" s="9" t="n">
        <x:f>I27+IF(ISNUMBER(H27),H27,0)</x:f>
        <x:v>45</x:v>
      </x:c>
      <x:c r="K27" s="8" t="str">
        <x:v>Unquoted</x:v>
      </x:c>
      <x:c r="L27" s="8" t="str">
        <x:v>Allowance; no supplier quote</x:v>
      </x:c>
      <x:c r="M27" s="8" t="str"/>
    </x:row>
    <x:row r="28" ht="90" customHeight="1">
      <x:c r="A28" s="8" t="str">
        <x:v>H03</x:v>
      </x:c>
      <x:c r="B28" s="8" t="str">
        <x:v>Chassis</x:v>
      </x:c>
      <x:c r="C28" s="8" t="str">
        <x:v>Cover fasteners, storage liners and retaining hardware</x:v>
      </x:c>
      <x:c r="D28" s="8" t="n">
        <x:v>1</x:v>
      </x:c>
      <x:c r="E28" s="8" t="str">
        <x:v>lot</x:v>
      </x:c>
      <x:c r="F28" s="9" t="n">
        <x:v>75</x:v>
      </x:c>
      <x:c r="G28" s="9" t="str">
        <x:v>Allowance</x:v>
      </x:c>
      <x:c r="H28" s="9"/>
      <x:c r="I28" s="9" t="n">
        <x:f>D28*F28</x:f>
        <x:v>75</x:v>
      </x:c>
      <x:c r="J28" s="9" t="n">
        <x:f>I28+IF(ISNUMBER(H28),H28,0)</x:f>
        <x:v>75</x:v>
      </x:c>
      <x:c r="K28" s="8" t="str">
        <x:v>Unquoted</x:v>
      </x:c>
      <x:c r="L28" s="8" t="str">
        <x:v>Allowance; no supplier quote</x:v>
      </x:c>
      <x:c r="M28" s="8" t="str"/>
    </x:row>
    <x:row r="29" ht="90" customHeight="1">
      <x:c r="A29" s="8" t="str">
        <x:v>H04</x:v>
      </x:c>
      <x:c r="B29" s="8" t="str">
        <x:v>Motion</x:v>
      </x:c>
      <x:c r="C29" s="8" t="str">
        <x:v>Motion shoulder screws, race shims, jam nuts and mounting screws</x:v>
      </x:c>
      <x:c r="D29" s="8" t="n">
        <x:v>1</x:v>
      </x:c>
      <x:c r="E29" s="8" t="str">
        <x:v>lot</x:v>
      </x:c>
      <x:c r="F29" s="9" t="n">
        <x:v>165</x:v>
      </x:c>
      <x:c r="G29" s="9" t="str">
        <x:v>Allowance</x:v>
      </x:c>
      <x:c r="H29" s="9"/>
      <x:c r="I29" s="9" t="n">
        <x:f>D29*F29</x:f>
        <x:v>165</x:v>
      </x:c>
      <x:c r="J29" s="9" t="n">
        <x:f>I29+IF(ISNUMBER(H29),H29,0)</x:f>
        <x:v>165</x:v>
      </x:c>
      <x:c r="K29" s="8" t="str">
        <x:v>Unquoted</x:v>
      </x:c>
      <x:c r="L29" s="8" t="str">
        <x:v>Allowance; no supplier quote</x:v>
      </x:c>
      <x:c r="M29" s="8" t="str">
        <x:v>Replaces the former $100 all-hardware allowance: $50 linkage pins/shims, $75 ordinary modeled motion screws, $40 unresolved rail/HMS mounting hardware. Rod ends and 8080 T-nuts are separately priced.</x:v>
      </x:c>
    </x:row>
    <x:row r="30" ht="90" customHeight="1">
      <x:c r="A30" s="8" t="str">
        <x:v>H09</x:v>
      </x:c>
      <x:c r="B30" s="8" t="str">
        <x:v>Motion</x:v>
      </x:c>
      <x:c r="C30" s="8" t="str">
        <x:v>SKF SA6C right-hand rod end</x:v>
      </x:c>
      <x:c r="D30" s="8" t="n">
        <x:v>3</x:v>
      </x:c>
      <x:c r="E30" s="8" t="str">
        <x:v>each</x:v>
      </x:c>
      <x:c r="F30" s="9" t="n">
        <x:v>49.32</x:v>
      </x:c>
      <x:c r="G30" s="9" t="str">
        <x:v>Benchmark</x:v>
      </x:c>
      <x:c r="H30" s="9"/>
      <x:c r="I30" s="9" t="n">
        <x:f>D30*F30</x:f>
        <x:v>147.96</x:v>
      </x:c>
      <x:c r="J30" s="9" t="n">
        <x:f>I30+IF(ISNUMBER(H30),H30,0)</x:f>
        <x:v>147.96</x:v>
      </x:c>
      <x:c r="K30" s="8" t="str">
        <x:v>Unquoted</x:v>
      </x:c>
      <x:c r="L30" s="8" t="str">
        <x:v>https://www.sp-spareparts.com/en/p/sal6-c-skf</x:v>
      </x:c>
      <x:c r="M30" s="8" t="str">
        <x:v>Related exact-SKU retail benchmark on SAL6C page, not a direct checkout offer. Matches the frozen CAD ball width; cheap wider rod ends are not interchangeable without redesign.</x:v>
      </x:c>
    </x:row>
    <x:row r="31" ht="90" customHeight="1">
      <x:c r="A31" s="8" t="str">
        <x:v>H10</x:v>
      </x:c>
      <x:c r="B31" s="8" t="str">
        <x:v>Motion</x:v>
      </x:c>
      <x:c r="C31" s="8" t="str">
        <x:v>SKF SAL6C left-hand rod end</x:v>
      </x:c>
      <x:c r="D31" s="8" t="n">
        <x:v>3</x:v>
      </x:c>
      <x:c r="E31" s="8" t="str">
        <x:v>each</x:v>
      </x:c>
      <x:c r="F31" s="9" t="n">
        <x:v>46.27</x:v>
      </x:c>
      <x:c r="G31" s="9" t="str">
        <x:v>Observed</x:v>
      </x:c>
      <x:c r="H31" s="9"/>
      <x:c r="I31" s="9" t="n">
        <x:f>D31*F31</x:f>
        <x:v>138.81</x:v>
      </x:c>
      <x:c r="J31" s="9" t="n">
        <x:f>I31+IF(ISNUMBER(H31),H31,0)</x:f>
        <x:v>138.81</x:v>
      </x:c>
      <x:c r="K31" s="8" t="str">
        <x:v>Unquoted</x:v>
      </x:c>
      <x:c r="L31" s="8" t="str">
        <x:v>https://www.sp-spareparts.com/en/p/sal6-c-skf</x:v>
      </x:c>
      <x:c r="M31" s="8" t="str">
        <x:v>Three floating-drive links each require one RH and one LH end. Freight unquoted.</x:v>
      </x:c>
    </x:row>
    <x:row r="32" ht="90" customHeight="1">
      <x:c r="A32" s="8" t="str">
        <x:v>H11</x:v>
      </x:c>
      <x:c r="B32" s="8" t="str">
        <x:v>Motion</x:v>
      </x:c>
      <x:c r="C32" s="8" t="str">
        <x:v>80/20 40-3915 M8 T-nut</x:v>
      </x:c>
      <x:c r="D32" s="8" t="n">
        <x:v>16</x:v>
      </x:c>
      <x:c r="E32" s="8" t="str">
        <x:v>each</x:v>
      </x:c>
      <x:c r="F32" s="9" t="n">
        <x:v>2.58</x:v>
      </x:c>
      <x:c r="G32" s="9" t="str">
        <x:v>Observed</x:v>
      </x:c>
      <x:c r="H32" s="9"/>
      <x:c r="I32" s="9" t="n">
        <x:f>D32*F32</x:f>
        <x:v>41.28</x:v>
      </x:c>
      <x:c r="J32" s="9" t="n">
        <x:f>I32+IF(ISNUMBER(H32),H32,0)</x:f>
        <x:v>41.28</x:v>
      </x:c>
      <x:c r="K32" s="8" t="str">
        <x:v>Unquoted</x:v>
      </x:c>
      <x:c r="L32" s="8" t="str">
        <x:v>https://8020.net/40-3915.html</x:v>
      </x:c>
      <x:c r="M32" s="8" t="str">
        <x:v>Manufacturer custom-quantity unit price; already excluded from H04 to avoid duplicate hardware pricing.</x:v>
      </x:c>
    </x:row>
    <x:row r="33" ht="90" customHeight="1">
      <x:c r="A33" s="8" t="str">
        <x:v>H05</x:v>
      </x:c>
      <x:c r="B33" s="8" t="str">
        <x:v>Router bed</x:v>
      </x:c>
      <x:c r="C33" s="8" t="str">
        <x:v>Nutty XMSQNT5 M5 x 0.8 A2 thin square nuts, DIN 562</x:v>
      </x:c>
      <x:c r="D33" s="8" t="n">
        <x:v>260</x:v>
      </x:c>
      <x:c r="E33" s="8" t="str">
        <x:v>each</x:v>
      </x:c>
      <x:c r="F33" s="10" t="n">
        <x:v>0.076</x:v>
      </x:c>
      <x:c r="G33" s="9" t="str">
        <x:v>Observed</x:v>
      </x:c>
      <x:c r="H33" s="9" t="n">
        <x:v>10.95</x:v>
      </x:c>
      <x:c r="I33" s="9" t="n">
        <x:f>D33*F33</x:f>
        <x:v>19.759999999999998</x:v>
      </x:c>
      <x:c r="J33" s="9" t="n">
        <x:f>I33+IF(ISNUMBER(H33),H33,0)</x:f>
        <x:v>30.709999999999997</x:v>
      </x:c>
      <x:c r="K33" s="8" t="str">
        <x:v>Posted flat rate</x:v>
      </x:c>
      <x:c r="L33" s="8" t="str">
        <x:v>https://www.nutty.com/m5-x-8-stainless-metric-square-nut-thin/</x:v>
      </x:c>
      <x:c r="M33" s="8" t="str">
        <x:v>240 used: 120 ties, 60 anchors, 60 spoilboard fasteners; 20 spare. Posted 100–499 price and $10.95 US48 flat shipping policy: https://www.nutty.com/shipping-returns/ . Receipt check 8 x 8 x 2.7 mm maximum to DIN 562; do not substitute DIN 557. Stock/dispatch date not confirmed.</x:v>
      </x:c>
    </x:row>
    <x:row r="34" ht="90" customHeight="1">
      <x:c r="A34" s="8" t="str">
        <x:v>H06</x:v>
      </x:c>
      <x:c r="B34" s="8" t="str">
        <x:v>Router bed</x:v>
      </x:c>
      <x:c r="C34" s="8" t="str">
        <x:v>M5 tie screws, 60 anchors, jam nuts and DIN 7349 heavy washers</x:v>
      </x:c>
      <x:c r="D34" s="8" t="n">
        <x:v>1</x:v>
      </x:c>
      <x:c r="E34" s="8" t="str">
        <x:v>lot</x:v>
      </x:c>
      <x:c r="F34" s="9" t="n">
        <x:v>80</x:v>
      </x:c>
      <x:c r="G34" s="9" t="str">
        <x:v>Allowance</x:v>
      </x:c>
      <x:c r="H34" s="9"/>
      <x:c r="I34" s="9" t="n">
        <x:f>D34*F34</x:f>
        <x:v>80</x:v>
      </x:c>
      <x:c r="J34" s="9" t="n">
        <x:f>I34+IF(ISNUMBER(H34),H34,0)</x:f>
        <x:v>80</x:v>
      </x:c>
      <x:c r="K34" s="8" t="str">
        <x:v>Unquoted</x:v>
      </x:c>
      <x:c r="L34" s="8" t="str">
        <x:v>https://www.norelemusa.com/en-us/Product-Overview/Flexible-standard-component-system/07000/Nuts-screws-washers-securing-elements/Washers-DIN-7349-for-bolts-with-heavy-duty-clamping-bodies/p/agid.28087</x:v>
      </x:c>
      <x:c r="M34" s="8" t="str">
        <x:v>120 tie screws; 60 anchor studs, 120 jam nuts and 60 retaining washers. Washer07305-05-050: 15 mm OD, 5.3 mm ID, 2 mm thick. Thin DIN 9021 washers are superseded.</x:v>
      </x:c>
    </x:row>
    <x:row r="35" ht="90" customHeight="1">
      <x:c r="A35" s="8" t="str">
        <x:v>H07</x:v>
      </x:c>
      <x:c r="B35" s="8" t="str">
        <x:v>Router bed</x:v>
      </x:c>
      <x:c r="C35" s="8" t="str">
        <x:v>16 M8 beam drawdowns, nuts and compression sleeves</x:v>
      </x:c>
      <x:c r="D35" s="8" t="n">
        <x:v>1</x:v>
      </x:c>
      <x:c r="E35" s="8" t="str">
        <x:v>lot</x:v>
      </x:c>
      <x:c r="F35" s="9" t="n">
        <x:v>45</x:v>
      </x:c>
      <x:c r="G35" s="9" t="str">
        <x:v>Allowance</x:v>
      </x:c>
      <x:c r="H35" s="9"/>
      <x:c r="I35" s="9" t="n">
        <x:f>D35*F35</x:f>
        <x:v>45</x:v>
      </x:c>
      <x:c r="J35" s="9" t="n">
        <x:f>I35+IF(ISNUMBER(H35),H35,0)</x:f>
        <x:v>45</x:v>
      </x:c>
      <x:c r="K35" s="8" t="str">
        <x:v>Unquoted</x:v>
      </x:c>
      <x:c r="L35" s="8" t="str">
        <x:v>Allowance; no supplier quote</x:v>
      </x:c>
      <x:c r="M35" s="8" t="str"/>
    </x:row>
    <x:row r="36" ht="90" customHeight="1">
      <x:c r="A36" s="8" t="str">
        <x:v>H08</x:v>
      </x:c>
      <x:c r="B36" s="8" t="str">
        <x:v>Router bed</x:v>
      </x:c>
      <x:c r="C36" s="8" t="str">
        <x:v>MDF retention, handles and ordinary work clamps</x:v>
      </x:c>
      <x:c r="D36" s="8" t="n">
        <x:v>1</x:v>
      </x:c>
      <x:c r="E36" s="8" t="str">
        <x:v>lot</x:v>
      </x:c>
      <x:c r="F36" s="9" t="n">
        <x:v>70</x:v>
      </x:c>
      <x:c r="G36" s="9" t="str">
        <x:v>Allowance</x:v>
      </x:c>
      <x:c r="H36" s="9"/>
      <x:c r="I36" s="9" t="n">
        <x:f>D36*F36</x:f>
        <x:v>70</x:v>
      </x:c>
      <x:c r="J36" s="9" t="n">
        <x:f>I36+IF(ISNUMBER(H36),H36,0)</x:f>
        <x:v>70</x:v>
      </x:c>
      <x:c r="K36" s="8" t="str">
        <x:v>Unquoted</x:v>
      </x:c>
      <x:c r="L36" s="8" t="str">
        <x:v>Allowance; no supplier quote</x:v>
      </x:c>
      <x:c r="M36" s="8" t="str"/>
    </x:row>
    <x:row r="37" ht="90" customHeight="1">
      <x:c r="A37" s="8" t="str">
        <x:v>W-METAL-EXTRA</x:v>
      </x:c>
      <x:c r="B37" s="8" t="str">
        <x:v>Water metal</x:v>
      </x:c>
      <x:c r="C37" s="8" t="str">
        <x:v>EPDM cover gasket, stainless sensor brackets and welded pipe fittings</x:v>
      </x:c>
      <x:c r="D37" s="8" t="n">
        <x:v>1</x:v>
      </x:c>
      <x:c r="E37" s="8" t="str">
        <x:v>lot</x:v>
      </x:c>
      <x:c r="F37" s="9" t="n">
        <x:v>85</x:v>
      </x:c>
      <x:c r="G37" s="9" t="str">
        <x:v>Allowance</x:v>
      </x:c>
      <x:c r="H37" s="9"/>
      <x:c r="I37" s="9" t="n">
        <x:f>D37*F37</x:f>
        <x:v>85</x:v>
      </x:c>
      <x:c r="J37" s="9" t="n">
        <x:f>I37+IF(ISNUMBER(H37),H37,0)</x:f>
        <x:v>85</x:v>
      </x:c>
      <x:c r="K37" s="8" t="str">
        <x:v>Unquoted</x:v>
      </x:c>
      <x:c r="L37" s="8" t="str">
        <x:v>Allowance; no supplier quote</x:v>
      </x:c>
      <x:c r="M37" s="8" t="str">
        <x:v>Does not duplicate flexible hoses and threaded adapters in the water-control BOM.</x:v>
      </x:c>
    </x:row>
    <x:row r="38" ht="90" customHeight="1">
      <x:c r="A38" s="8" t="str">
        <x:v>W-PUMP</x:v>
      </x:c>
      <x:c r="B38" s="8" t="str">
        <x:v>Water controls</x:v>
      </x:c>
      <x:c r="C38" s="8" t="str">
        <x:v>SEAFLO SFDP2-018-120-31, 24V continuous-duty diaphragm pump</x:v>
      </x:c>
      <x:c r="D38" s="8" t="n">
        <x:v>1</x:v>
      </x:c>
      <x:c r="E38" s="8" t="str">
        <x:v>pack / lot</x:v>
      </x:c>
      <x:c r="F38" s="9" t="n">
        <x:v>71.99</x:v>
      </x:c>
      <x:c r="G38" s="9" t="str">
        <x:v>Observed</x:v>
      </x:c>
      <x:c r="H38" s="9" t="n">
        <x:v>0</x:v>
      </x:c>
      <x:c r="I38" s="9" t="n">
        <x:f>D38*F38</x:f>
        <x:v>71.99</x:v>
      </x:c>
      <x:c r="J38" s="9" t="n">
        <x:f>I38+IF(ISNUMBER(H38),H38,0)</x:f>
        <x:v>71.99</x:v>
      </x:c>
      <x:c r="K38" s="8" t="str">
        <x:v>Advertised free</x:v>
      </x:c>
      <x:c r="L38" s="8" t="str">
        <x:v>https://www.amazon.com/dp/B0DW67Z14F</x:v>
      </x:c>
      <x:c r="M38" s="8" t="str">
        <x:v>Exact model is in manufacturer's continuous-duty table, printed page04. Allow13-18min fill estimate; actual flow must be measured. Primary product photo includes another31-series model label; select title/model SFDP2-018-120-31 and receipt-check exact nameplate. FREE Oct2 delivery displayed to Alto30510; seller ships</x:v>
      </x:c>
    </x:row>
    <x:row r="39" ht="90" customHeight="1">
      <x:c r="A39" s="8" t="str">
        <x:v>W-DRAIN</x:v>
      </x:c>
      <x:c r="B39" s="8" t="str">
        <x:v>Water controls</x:v>
      </x:c>
      <x:c r="C39" s="8" t="str">
        <x:v>U.S.Solid USS-MSV00009, 1in NPT SS304 two-wire auto-return NC valve</x:v>
      </x:c>
      <x:c r="D39" s="8" t="n">
        <x:v>1</x:v>
      </x:c>
      <x:c r="E39" s="8" t="str">
        <x:v>pack / lot</x:v>
      </x:c>
      <x:c r="F39" s="9" t="n">
        <x:v>59.79</x:v>
      </x:c>
      <x:c r="G39" s="9" t="str">
        <x:v>Observed</x:v>
      </x:c>
      <x:c r="H39" s="9" t="n">
        <x:v>0</x:v>
      </x:c>
      <x:c r="I39" s="9" t="n">
        <x:f>D39*F39</x:f>
        <x:v>59.79</x:v>
      </x:c>
      <x:c r="J39" s="9" t="n">
        <x:f>I39+IF(ISNUMBER(H39),H39,0)</x:f>
        <x:v>59.79</x:v>
      </x:c>
      <x:c r="K39" s="8" t="str">
        <x:v>Advertised free</x:v>
      </x:c>
      <x:c r="L39" s="8" t="str">
        <x:v>https://www.amazon.com/dp/B06WWR1FRK</x:v>
      </x:c>
      <x:c r="M39" s="8" t="str">
        <x:v>Reserve125mm clearance cube; manufacturer port datums/face-to-face dimension not published in recovered source. Never assume fail-closed before capacitor charging; entire inventory remains contained in either state. FREE Sep29 to Alto30510</x:v>
      </x:c>
    </x:row>
    <x:row r="40" ht="90" customHeight="1">
      <x:c r="A40" s="8" t="str">
        <x:v>W-STRAINER</x:v>
      </x:c>
      <x:c r="B40" s="8" t="str">
        <x:v>Water controls</x:v>
      </x:c>
      <x:c r="C40" s="8" t="str">
        <x:v>SEAFLO SFWS-500-02, 1/2NPT inline strainer, 50mesh316 stainless screen</x:v>
      </x:c>
      <x:c r="D40" s="8" t="n">
        <x:v>1</x:v>
      </x:c>
      <x:c r="E40" s="8" t="str">
        <x:v>pack / lot</x:v>
      </x:c>
      <x:c r="F40" s="9" t="n">
        <x:v>19.99</x:v>
      </x:c>
      <x:c r="G40" s="9" t="str">
        <x:v>Observed</x:v>
      </x:c>
      <x:c r="H40" s="9" t="n">
        <x:v>0</x:v>
      </x:c>
      <x:c r="I40" s="9" t="n">
        <x:f>D40*F40</x:f>
        <x:v>19.99</x:v>
      </x:c>
      <x:c r="J40" s="9" t="n">
        <x:f>I40+IF(ISNUMBER(H40),H40,0)</x:f>
        <x:v>19.99</x:v>
      </x:c>
      <x:c r="K40" s="8" t="str">
        <x:v>Advertised free</x:v>
      </x:c>
      <x:c r="L40" s="8" t="str">
        <x:v>https://www.amazon.com/dp/B0H7K7G8GF</x:v>
      </x:c>
      <x:c r="M40" s="8" t="str">
        <x:v>Two1/2NPTmale-to1/2hosebarb fittings included in fitting allowance. Clean-bowl removal access required. Sediment must settle before pumping; screen does not remove all abrasive fines. FREE Sep29 on eligible Amazon-shipped order over35USD, satisfied by listed batch</x:v>
      </x:c>
    </x:row>
    <x:row r="41" ht="90" customHeight="1">
      <x:c r="A41" s="8" t="str">
        <x:v>W-FLOAT</x:v>
      </x:c>
      <x:c r="B41" s="8" t="str">
        <x:v>Water controls</x:v>
      </x:c>
      <x:c r="C41" s="8" t="str">
        <x:v>FOCMKEAS A250601FTD004, two-pack M10 x65mm stainless vertical float switches</x:v>
      </x:c>
      <x:c r="D41" s="8" t="n">
        <x:v>3</x:v>
      </x:c>
      <x:c r="E41" s="8" t="str">
        <x:v>pack / lot</x:v>
      </x:c>
      <x:c r="F41" s="9" t="n">
        <x:v>9.99</x:v>
      </x:c>
      <x:c r="G41" s="9" t="str">
        <x:v>Observed</x:v>
      </x:c>
      <x:c r="H41" s="9" t="n">
        <x:v>0</x:v>
      </x:c>
      <x:c r="I41" s="9" t="n">
        <x:f>D41*F41</x:f>
        <x:v>29.97</x:v>
      </x:c>
      <x:c r="J41" s="9" t="n">
        <x:f>I41+IF(ISNUMBER(H41),H41,0)</x:f>
        <x:v>29.97</x:v>
      </x:c>
      <x:c r="K41" s="8" t="str">
        <x:v>Advertised free</x:v>
      </x:c>
      <x:c r="L41" s="8" t="str">
        <x:v>https://www.amazon.com/dp/B0FFG7B54S</x:v>
      </x:c>
      <x:c r="M41" s="8" t="str">
        <x:v>Reversible float changes NO/NC state. Low-power relay coils only; no pump/valve direct switching. No manufacturer wet-trip datum or tolerance published: adjustable brackets and wet calibration required. FREE Sep29 on eligible Amazon-shipped order over35USD, satisfied by listed batch</x:v>
      </x:c>
    </x:row>
    <x:row r="42" ht="90" customHeight="1">
      <x:c r="A42" s="8" t="str">
        <x:v>W-AUX-RELAYS</x:v>
      </x:c>
      <x:c r="B42" s="8" t="str">
        <x:v>Water controls</x:v>
      </x:c>
      <x:c r="C42" s="8" t="str">
        <x:v>Finder 40.52.9.024.0000 DPDT 24 VDC relay with 95.05 DIN socket</x:v>
      </x:c>
      <x:c r="D42" s="8" t="n">
        <x:v>6</x:v>
      </x:c>
      <x:c r="E42" s="8" t="str">
        <x:v>pack / lot</x:v>
      </x:c>
      <x:c r="F42" s="9" t="n">
        <x:v>14.87</x:v>
      </x:c>
      <x:c r="G42" s="9" t="str">
        <x:v>Observed</x:v>
      </x:c>
      <x:c r="H42" s="9"/>
      <x:c r="I42" s="9" t="n">
        <x:f>D42*F42</x:f>
        <x:v>89.22</x:v>
      </x:c>
      <x:c r="J42" s="9" t="n">
        <x:f>I42+IF(ISNUMBER(H42),H42,0)</x:f>
        <x:v>89.22</x:v>
      </x:c>
      <x:c r="K42" s="8" t="str">
        <x:v>Unquoted</x:v>
      </x:c>
      <x:c r="L42" s="8" t="str">
        <x:v>https://www.digikey.com/en/products/detail/finder-relays-inc/40-52-9-024-0000/10055849</x:v>
      </x:c>
      <x:c r="M42" s="8" t="str">
        <x:v>K_ARM, K_FILL, K_DRAIN, K_MIN, K_EMPTY, K_READY. Published nominal coil current 27 mA; IEC terminal allocation in WATER-ELECTRICAL-REVIEW.md. K_ARM requires release of the FILL button before restarting after loss of FILL_ALLOWED. No pump load is switched by these auxiliary contacts; controller-interface wetting current remains a design item. Shipping to 30510 unquoted</x:v>
      </x:c>
    </x:row>
    <x:row r="43" ht="90" customHeight="1">
      <x:c r="A43" s="8" t="str">
        <x:v>W-CLOSE-TIMER</x:v>
      </x:c>
      <x:c r="B43" s="8" t="str">
        <x:v>Water controls</x:v>
      </x:c>
      <x:c r="C43" s="8" t="str">
        <x:v>BAOMAIN AH3-3 AC/DC24V 60-second-range power-on-delay timer with socket</x:v>
      </x:c>
      <x:c r="D43" s="8" t="n">
        <x:v>1</x:v>
      </x:c>
      <x:c r="E43" s="8" t="str">
        <x:v>pack / lot</x:v>
      </x:c>
      <x:c r="F43" s="9" t="n">
        <x:v>9.99</x:v>
      </x:c>
      <x:c r="G43" s="9" t="str">
        <x:v>Observed</x:v>
      </x:c>
      <x:c r="H43" s="9" t="n">
        <x:v>0</x:v>
      </x:c>
      <x:c r="I43" s="9" t="n">
        <x:f>D43*F43</x:f>
        <x:v>9.99</x:v>
      </x:c>
      <x:c r="J43" s="9" t="n">
        <x:f>I43+IF(ISNUMBER(H43),H43,0)</x:f>
        <x:v>9.99</x:v>
      </x:c>
      <x:c r="K43" s="8" t="str">
        <x:v>Advertised free</x:v>
      </x:c>
      <x:c r="L43" s="8" t="str">
        <x:v>https://www.amazon.com/dp/B01JCIA9ME</x:v>
      </x:c>
      <x:c r="M43" s="8" t="str">
        <x:v>One timed changeover pole plus one instantaneous pole; do not treat both as timed. Use10s for drain close only. Confirm measured delay on delivered unit. FREE Sep29 on eligible Amazon-shipped order over35USD, satisfied by listed batch</x:v>
      </x:c>
    </x:row>
    <x:row r="44" ht="90" customHeight="1">
      <x:c r="A44" s="8" t="str">
        <x:v>W-DRAIN-TIMER</x:v>
      </x:c>
      <x:c r="B44" s="8" t="str">
        <x:v>Water controls</x:v>
      </x:c>
      <x:c r="C44" s="8" t="str">
        <x:v>BAOMAIN AH3-3-24V-3Min power-on-delay timer with socket, 24 VDC, 3-minute range</x:v>
      </x:c>
      <x:c r="D44" s="8" t="n">
        <x:v>1</x:v>
      </x:c>
      <x:c r="E44" s="8" t="str">
        <x:v>pack / lot</x:v>
      </x:c>
      <x:c r="F44" s="9" t="n">
        <x:v>10.79</x:v>
      </x:c>
      <x:c r="G44" s="9" t="str">
        <x:v>Observed</x:v>
      </x:c>
      <x:c r="H44" s="9"/>
      <x:c r="I44" s="9" t="n">
        <x:f>D44*F44</x:f>
        <x:v>10.79</x:v>
      </x:c>
      <x:c r="J44" s="9" t="n">
        <x:f>I44+IF(ISNUMBER(H44),H44,0)</x:f>
        <x:v>10.79</x:v>
      </x:c>
      <x:c r="K44" s="8" t="str">
        <x:v>Unquoted</x:v>
      </x:c>
      <x:c r="L44" s="8" t="str">
        <x:v>https://baomain.com/products/baomain-ah3-3-24v?variant=42107472478393</x:v>
      </x:c>
      <x:c r="M44" s="8" t="str">
        <x:v>Set nominally to 75 seconds, then measure and adjust to at least 60 seconds. Three-minute range replaces the unselected six-minute-range allowance. Same control function; one timed contact plus one instantaneous contact. Verify printed terminal diagram and timer DC contact suitability for selected low-power relay coil. Unquoted to Alto GA 30510; covered by planning reserve, not treated as free</x:v>
      </x:c>
    </x:row>
    <x:row r="45" ht="90" customHeight="1">
      <x:c r="A45" s="8" t="str">
        <x:v>W-MOTOR-RELAYS</x:v>
      </x:c>
      <x:c r="B45" s="8" t="str">
        <x:v>Water controls</x:v>
      </x:c>
      <x:c r="C45" s="8" t="str">
        <x:v>Carlo Gavazzi RM1D060D20 DC solid-state pump switch</x:v>
      </x:c>
      <x:c r="D45" s="8" t="n">
        <x:v>2</x:v>
      </x:c>
      <x:c r="E45" s="8" t="str">
        <x:v>pack / lot</x:v>
      </x:c>
      <x:c r="F45" s="9" t="n">
        <x:v>66.5</x:v>
      </x:c>
      <x:c r="G45" s="9" t="str">
        <x:v>Observed</x:v>
      </x:c>
      <x:c r="H45" s="9"/>
      <x:c r="I45" s="9" t="n">
        <x:f>D45*F45</x:f>
        <x:v>133</x:v>
      </x:c>
      <x:c r="J45" s="9" t="n">
        <x:f>I45+IF(ISNUMBER(H45),H45,0)</x:f>
        <x:v>133</x:v>
      </x:c>
      <x:c r="K45" s="8" t="str">
        <x:v>Unquoted</x:v>
      </x:c>
      <x:c r="L45" s="8" t="str">
        <x:v>https://www.digikey.com/en/products/detail/carlo-gavazzi-inc/RM1D060D20/13277978</x:v>
      </x:c>
      <x:c r="M45" s="8" t="str">
        <x:v>Two series devices, 20 A continuous subject to thermal conditions, 30 A for 1 second repetitive overload. Required motor flyback diode, heat-dissipating mounting and measured pump inrush verification. Not a service isolator. Shipping to 30510 unquoted</x:v>
      </x:c>
    </x:row>
    <x:row r="46" ht="90" customHeight="1">
      <x:c r="A46" s="8" t="str">
        <x:v>W-FITTINGS</x:v>
      </x:c>
      <x:c r="B46" s="8" t="str">
        <x:v>Water controls</x:v>
      </x:c>
      <x:c r="C46" s="8" t="str">
        <x:v>NPT reducer, union, cleanout cap, six barb adapters, short nipples and thread sealant</x:v>
      </x:c>
      <x:c r="D46" s="8" t="n">
        <x:v>1</x:v>
      </x:c>
      <x:c r="E46" s="8" t="str">
        <x:v>pack / lot</x:v>
      </x:c>
      <x:c r="F46" s="9" t="n">
        <x:v>55</x:v>
      </x:c>
      <x:c r="G46" s="9" t="str">
        <x:v>Allowance</x:v>
      </x:c>
      <x:c r="H46" s="9"/>
      <x:c r="I46" s="9" t="n">
        <x:f>D46*F46</x:f>
        <x:v>55</x:v>
      </x:c>
      <x:c r="J46" s="9" t="n">
        <x:f>I46+IF(ISNUMBER(H46),H46,0)</x:f>
        <x:v>55</x:v>
      </x:c>
      <x:c r="K46" s="8" t="str">
        <x:v>Unquoted</x:v>
      </x:c>
      <x:c r="L46" s="8" t="str">
        <x:v>Allowance; no supplier quote</x:v>
      </x:c>
      <x:c r="M46" s="8" t="str">
        <x:v>Six barb adapters are enumerated; no separate fitting is needed at the open refill hose outlet. Use trueNPT components or documented face-seal adapters; NPSM is not automatically interchangeable. </x:v>
      </x:c>
    </x:row>
    <x:row r="47" ht="90" customHeight="1">
      <x:c r="A47" s="8" t="str">
        <x:v>W-HOSES</x:v>
      </x:c>
      <x:c r="B47" s="8" t="str">
        <x:v>Water controls</x:v>
      </x:c>
      <x:c r="C47" s="8" t="str">
        <x:v>1.5m1in drain hose,3m1/2in reinforced suction/discharge hose and12stainless clamps</x:v>
      </x:c>
      <x:c r="D47" s="8" t="n">
        <x:v>1</x:v>
      </x:c>
      <x:c r="E47" s="8" t="str">
        <x:v>pack / lot</x:v>
      </x:c>
      <x:c r="F47" s="9" t="n">
        <x:v>35</x:v>
      </x:c>
      <x:c r="G47" s="9" t="str">
        <x:v>Allowance</x:v>
      </x:c>
      <x:c r="H47" s="9"/>
      <x:c r="I47" s="9" t="n">
        <x:f>D47*F47</x:f>
        <x:v>35</x:v>
      </x:c>
      <x:c r="J47" s="9" t="n">
        <x:f>I47+IF(ISNUMBER(H47),H47,0)</x:f>
        <x:v>35</x:v>
      </x:c>
      <x:c r="K47" s="8" t="str">
        <x:v>Unquoted</x:v>
      </x:c>
      <x:c r="L47" s="8" t="str">
        <x:v>Allowance; no supplier quote</x:v>
      </x:c>
      <x:c r="M47" s="8" t="str">
        <x:v>Pump plumbing at least150PSIworking rating at operating temperature; suction hose must resist collapse. Gravity drain hose kept continuously downhill. Refill ends with25mm air gap above pan maximum surface. </x:v>
      </x:c>
    </x:row>
    <x:row r="48" ht="90" customHeight="1">
      <x:c r="A48" s="8" t="str">
        <x:v>W-WATER-BUTTONS</x:v>
      </x:c>
      <x:c r="B48" s="8" t="str">
        <x:v>Water controls</x:v>
      </x:c>
      <x:c r="C48" s="8" t="str">
        <x:v>Guarded momentary FILL with linked NO+NC contacts, NC STOP, guarded AUTO/DRAIN override and labels</x:v>
      </x:c>
      <x:c r="D48" s="8" t="n">
        <x:v>1</x:v>
      </x:c>
      <x:c r="E48" s="8" t="str">
        <x:v>pack / lot</x:v>
      </x:c>
      <x:c r="F48" s="9" t="n">
        <x:v>20</x:v>
      </x:c>
      <x:c r="G48" s="9" t="str">
        <x:v>Allowance</x:v>
      </x:c>
      <x:c r="H48" s="9"/>
      <x:c r="I48" s="9" t="n">
        <x:f>D48*F48</x:f>
        <x:v>20</x:v>
      </x:c>
      <x:c r="J48" s="9" t="n">
        <x:f>I48+IF(ISNUMBER(H48),H48,0)</x:f>
        <x:v>20</x:v>
      </x:c>
      <x:c r="K48" s="8" t="str">
        <x:v>Unquoted</x:v>
      </x:c>
      <x:c r="L48" s="8" t="str">
        <x:v>Allowance; no supplier quote</x:v>
      </x:c>
      <x:c r="M48" s="8" t="str">
        <x:v>Main keyed ROUTER/OFF/PLASMA and SETUP/RUN controls are shared and excluded here. </x:v>
      </x:c>
    </x:row>
    <x:row r="49" ht="90" customHeight="1">
      <x:c r="A49" s="8" t="str">
        <x:v>W-BRANCH-WIRING</x:v>
      </x:c>
      <x:c r="B49" s="8" t="str">
        <x:v>Water controls</x:v>
      </x:c>
      <x:c r="C49" s="8" t="str">
        <x:v>Specified branch fuse holders/fuses, MBR20100CTG, ten 1N4007-E3/54, terminals, cable and glands</x:v>
      </x:c>
      <x:c r="D49" s="8" t="n">
        <x:v>1</x:v>
      </x:c>
      <x:c r="E49" s="8" t="str">
        <x:v>pack / lot</x:v>
      </x:c>
      <x:c r="F49" s="9" t="n">
        <x:v>45</x:v>
      </x:c>
      <x:c r="G49" s="9" t="str">
        <x:v>Allowance</x:v>
      </x:c>
      <x:c r="H49" s="9"/>
      <x:c r="I49" s="9" t="n">
        <x:f>D49*F49</x:f>
        <x:v>45</x:v>
      </x:c>
      <x:c r="J49" s="9" t="n">
        <x:f>I49+IF(ISNUMBER(H49),H49,0)</x:f>
        <x:v>45</x:v>
      </x:c>
      <x:c r="K49" s="8" t="str">
        <x:v>Unquoted</x:v>
      </x:c>
      <x:c r="L49" s="8" t="str">
        <x:v>Allowance; no supplier quote</x:v>
      </x:c>
      <x:c r="M49" s="8" t="str">
        <x:v>Exact small-parts quantities in electrical-selection.json; unquoted $45 lot allowance supersedes $22 placeholder. No duplicate main E-stop, enclosure, DIN rail, contactor or controller isolation charge. Pump fuse starts at 10 A conductor protection; actual pump instruction and inrush still require checking. </x:v>
      </x:c>
    </x:row>
    <x:row r="50" ht="90" customHeight="1">
      <x:c r="A50" s="8" t="str">
        <x:v>W-GUARDS</x:v>
      </x:c>
      <x:c r="B50" s="8" t="str">
        <x:v>Water controls</x:v>
      </x:c>
      <x:c r="C50" s="8" t="str">
        <x:v>Float guards, splash baffle, outlet restraint, coarse vent mesh and small mounting consumables</x:v>
      </x:c>
      <x:c r="D50" s="8" t="n">
        <x:v>1</x:v>
      </x:c>
      <x:c r="E50" s="8" t="str">
        <x:v>pack / lot</x:v>
      </x:c>
      <x:c r="F50" s="9" t="n">
        <x:v>12</x:v>
      </x:c>
      <x:c r="G50" s="9" t="str">
        <x:v>Allowance</x:v>
      </x:c>
      <x:c r="H50" s="9"/>
      <x:c r="I50" s="9" t="n">
        <x:f>D50*F50</x:f>
        <x:v>12</x:v>
      </x:c>
      <x:c r="J50" s="9" t="n">
        <x:f>I50+IF(ISNUMBER(H50),H50,0)</x:f>
        <x:v>12</x:v>
      </x:c>
      <x:c r="K50" s="8" t="str">
        <x:v>Unquoted</x:v>
      </x:c>
      <x:c r="L50" s="8" t="str">
        <x:v>Allowance; no supplier quote</x:v>
      </x:c>
      <x:c r="M50" s="8" t="str">
        <x:v> </x:v>
      </x:c>
    </x:row>
    <x:row r="51" ht="90" customHeight="1">
      <x:c r="A51" s="8" t="str">
        <x:v>E02</x:v>
      </x:c>
      <x:c r="B51" s="8" t="str">
        <x:v>Controls</x:v>
      </x:c>
      <x:c r="C51" s="8" t="str">
        <x:v>MEAN WELL LRS-350-36 motor supply</x:v>
      </x:c>
      <x:c r="D51" s="8" t="n">
        <x:v>1</x:v>
      </x:c>
      <x:c r="E51" s="8" t="str">
        <x:v>each</x:v>
      </x:c>
      <x:c r="F51" s="9" t="n">
        <x:v>36.07</x:v>
      </x:c>
      <x:c r="G51" s="9" t="str">
        <x:v>Observed</x:v>
      </x:c>
      <x:c r="H51" s="9" t="n">
        <x:v>0</x:v>
      </x:c>
      <x:c r="I51" s="9" t="n">
        <x:f>D51*F51</x:f>
        <x:v>36.07</x:v>
      </x:c>
      <x:c r="J51" s="9" t="n">
        <x:f>I51+IF(ISNUMBER(H51),H51,0)</x:f>
        <x:v>36.07</x:v>
      </x:c>
      <x:c r="K51" s="8" t="str">
        <x:v>Advertised free</x:v>
      </x:c>
      <x:c r="L51" s="8" t="str">
        <x:v>https://www.amazon.com/dp/B071HSNP83</x:v>
      </x:c>
      <x:c r="M51" s="8" t="str">
        <x:v>36 V / 350 W candidate for Kraken HV motor input only, never DCIN. Board DCIN uses 24 V from E03. Final current, acceleration and regeneration margin need load test.</x:v>
      </x:c>
    </x:row>
    <x:row r="52" ht="90" customHeight="1">
      <x:c r="A52" s="8" t="str">
        <x:v>E05</x:v>
      </x:c>
      <x:c r="B52" s="8" t="str">
        <x:v>Controls</x:v>
      </x:c>
      <x:c r="C52" s="8" t="str">
        <x:v>VEVOR steel electrical enclosure 20 x 16 x 8 in</x:v>
      </x:c>
      <x:c r="D52" s="8" t="n">
        <x:v>1</x:v>
      </x:c>
      <x:c r="E52" s="8" t="str">
        <x:v>each</x:v>
      </x:c>
      <x:c r="F52" s="9" t="n">
        <x:v>84.9</x:v>
      </x:c>
      <x:c r="G52" s="9" t="str">
        <x:v>Observed</x:v>
      </x:c>
      <x:c r="H52" s="9" t="n">
        <x:v>0</x:v>
      </x:c>
      <x:c r="I52" s="9" t="n">
        <x:f>D52*F52</x:f>
        <x:v>84.9</x:v>
      </x:c>
      <x:c r="J52" s="9" t="n">
        <x:f>I52+IF(ISNUMBER(H52),H52,0)</x:f>
        <x:v>84.9</x:v>
      </x:c>
      <x:c r="K52" s="8" t="str">
        <x:v>Advertised free</x:v>
      </x:c>
      <x:c r="L52" s="8" t="str">
        <x:v>https://www.amazon.com/dp/B0924BN1P5</x:v>
      </x:c>
      <x:c r="M52" s="8" t="str">
        <x:v>One unit shown available. Verify backplate, gland entries and actual usable space. Keep VFD wiring segregated; may require separate VFD enclosure.</x:v>
      </x:c>
    </x:row>
    <x:row r="53" ht="90" customHeight="1">
      <x:c r="A53" s="8" t="str">
        <x:v>E06</x:v>
      </x:c>
      <x:c r="B53" s="8" t="str">
        <x:v>Controls</x:v>
      </x:c>
      <x:c r="C53" s="8" t="str">
        <x:v>Enclosed cable chain 25 x 50 mm, R55, 1 metre</x:v>
      </x:c>
      <x:c r="D53" s="8" t="n">
        <x:v>2</x:v>
      </x:c>
      <x:c r="E53" s="8" t="str">
        <x:v>each</x:v>
      </x:c>
      <x:c r="F53" s="9" t="n">
        <x:v>29.99</x:v>
      </x:c>
      <x:c r="G53" s="9" t="str">
        <x:v>Observed</x:v>
      </x:c>
      <x:c r="H53" s="9" t="n">
        <x:v>0</x:v>
      </x:c>
      <x:c r="I53" s="9" t="n">
        <x:f>D53*F53</x:f>
        <x:v>59.98</x:v>
      </x:c>
      <x:c r="J53" s="9" t="n">
        <x:f>I53+IF(ISNUMBER(H53),H53,0)</x:f>
        <x:v>59.98</x:v>
      </x:c>
      <x:c r="K53" s="8" t="str">
        <x:v>Advertised free</x:v>
      </x:c>
      <x:c r="L53" s="8" t="str">
        <x:v>https://www.amazon.com/dp/B0DSPK5X4V</x:v>
      </x:c>
      <x:c r="M53" s="8" t="str">
        <x:v>Candidate X/Y carriers. Confirm cable fill, bend radius and travel-end geometry; add metal spark shields separately.</x:v>
      </x:c>
    </x:row>
    <x:row r="54" ht="90" customHeight="1">
      <x:c r="A54" s="8" t="str">
        <x:v>E07</x:v>
      </x:c>
      <x:c r="B54" s="8" t="str">
        <x:v>Controls</x:v>
      </x:c>
      <x:c r="C54" s="8" t="str">
        <x:v>BIGTREETECH Kraken V1.1 with 8 integrated drivers</x:v>
      </x:c>
      <x:c r="D54" s="8" t="n">
        <x:v>1</x:v>
      </x:c>
      <x:c r="E54" s="8" t="str">
        <x:v>each</x:v>
      </x:c>
      <x:c r="F54" s="9" t="n">
        <x:v>129.99</x:v>
      </x:c>
      <x:c r="G54" s="9" t="str">
        <x:v>Observed</x:v>
      </x:c>
      <x:c r="H54" s="9"/>
      <x:c r="I54" s="9" t="n">
        <x:f>D54*F54</x:f>
        <x:v>129.99</x:v>
      </x:c>
      <x:c r="J54" s="9" t="n">
        <x:f>I54+IF(ISNUMBER(H54),H54,0)</x:f>
        <x:v>129.99</x:v>
      </x:c>
      <x:c r="K54" s="8" t="str">
        <x:v>Unquoted</x:v>
      </x:c>
      <x:c r="L54" s="8" t="str">
        <x:v>https://biqu.equipment/products/kraken-for-voron-phoenix</x:v>
      </x:c>
      <x:c r="M54" s="8" t="str">
        <x:v>Official price; Amazon V1.1 ASIN B0F7RQY6Z4 unavailable. S1-S4 max 4.7 A for V1.1, not the V1.0 8 A claim. HV24-60 V and DCIN12/24 V are separate. Does not accept CB1 directly.</x:v>
      </x:c>
    </x:row>
    <x:row r="55" ht="90" customHeight="1">
      <x:c r="A55" s="8" t="str">
        <x:v>E09</x:v>
      </x:c>
      <x:c r="B55" s="8" t="str">
        <x:v>Controls</x:v>
      </x:c>
      <x:c r="C55" s="8" t="str">
        <x:v>Additional isolated I/O, unresolved provision</x:v>
      </x:c>
      <x:c r="D55" s="8" t="n">
        <x:v>1</x:v>
      </x:c>
      <x:c r="E55" s="8" t="str">
        <x:v>set</x:v>
      </x:c>
      <x:c r="F55" s="9" t="n">
        <x:v>79</x:v>
      </x:c>
      <x:c r="G55" s="9" t="str">
        <x:v>Allowance</x:v>
      </x:c>
      <x:c r="H55" s="9"/>
      <x:c r="I55" s="9" t="n">
        <x:f>D55*F55</x:f>
        <x:v>79</x:v>
      </x:c>
      <x:c r="J55" s="9" t="n">
        <x:f>I55+IF(ISNUMBER(H55),H55,0)</x:f>
        <x:v>79</x:v>
      </x:c>
      <x:c r="K55" s="8" t="str">
        <x:v>Unquoted</x:v>
      </x:c>
      <x:c r="L55" s="8" t="str">
        <x:v>Allowance; no supplier quote</x:v>
      </x:c>
      <x:c r="M55" s="8" t="str">
        <x:v>Isolated field-input provision for the selected Kraken V1.1 grblHAL pin map. GPIO is 3.3 V logic; exact field isolation, signal polarity and wetting current remain to be designed.</x:v>
      </x:c>
    </x:row>
    <x:row r="56" ht="90" customHeight="1">
      <x:c r="A56" s="8" t="str">
        <x:v>E12</x:v>
      </x:c>
      <x:c r="B56" s="8" t="str">
        <x:v>Controls</x:v>
      </x:c>
      <x:c r="C56" s="8" t="str">
        <x:v>E-stop, reset and mode-control station</x:v>
      </x:c>
      <x:c r="D56" s="8" t="n">
        <x:v>1</x:v>
      </x:c>
      <x:c r="E56" s="8" t="str">
        <x:v>set</x:v>
      </x:c>
      <x:c r="F56" s="9" t="n">
        <x:v>40</x:v>
      </x:c>
      <x:c r="G56" s="9" t="str">
        <x:v>Allowance</x:v>
      </x:c>
      <x:c r="H56" s="9"/>
      <x:c r="I56" s="9" t="n">
        <x:f>D56*F56</x:f>
        <x:v>40</x:v>
      </x:c>
      <x:c r="J56" s="9" t="n">
        <x:f>I56+IF(ISNUMBER(H56),H56,0)</x:f>
        <x:v>40</x:v>
      </x:c>
      <x:c r="K56" s="8" t="str">
        <x:v>Unquoted</x:v>
      </x:c>
      <x:c r="L56" s="8" t="str">
        <x:v>Allowance; no supplier quote</x:v>
      </x:c>
      <x:c r="M56" s="8" t="str">
        <x:v>Latching NC E-stop, deliberate reset and mode selector. Exact hardware and wiring pending.</x:v>
      </x:c>
    </x:row>
    <x:row r="57" ht="90" customHeight="1">
      <x:c r="A57" s="8" t="str">
        <x:v>E13</x:v>
      </x:c>
      <x:c r="B57" s="8" t="str">
        <x:v>Controls</x:v>
      </x:c>
      <x:c r="C57" s="8" t="str">
        <x:v>Contactors, interlock relay and branch protection</x:v>
      </x:c>
      <x:c r="D57" s="8" t="n">
        <x:v>1</x:v>
      </x:c>
      <x:c r="E57" s="8" t="str">
        <x:v>lot</x:v>
      </x:c>
      <x:c r="F57" s="9" t="n">
        <x:v>160</x:v>
      </x:c>
      <x:c r="G57" s="9" t="str">
        <x:v>Allowance</x:v>
      </x:c>
      <x:c r="H57" s="9"/>
      <x:c r="I57" s="9" t="n">
        <x:f>D57*F57</x:f>
        <x:v>160</x:v>
      </x:c>
      <x:c r="J57" s="9" t="n">
        <x:f>I57+IF(ISNUMBER(H57),H57,0)</x:f>
        <x:v>160</x:v>
      </x:c>
      <x:c r="K57" s="8" t="str">
        <x:v>Unquoted</x:v>
      </x:c>
      <x:c r="L57" s="8" t="str">
        <x:v>Allowance; no supplier quote</x:v>
      </x:c>
      <x:c r="M57" s="8" t="str">
        <x:v>Common supply isolation, fuses, EMC filter and tool interlocks only. Dedicated water SSRs, auxiliary relays and branch parts are separately counted under Water controls.</x:v>
      </x:c>
    </x:row>
    <x:row r="58" ht="90" customHeight="1">
      <x:c r="A58" s="8" t="str">
        <x:v>E14</x:v>
      </x:c>
      <x:c r="B58" s="8" t="str">
        <x:v>Controls</x:v>
      </x:c>
      <x:c r="C58" s="8" t="str">
        <x:v>Shielded motor/IO cable, grounding and connectors</x:v>
      </x:c>
      <x:c r="D58" s="8" t="n">
        <x:v>1</x:v>
      </x:c>
      <x:c r="E58" s="8" t="str">
        <x:v>lot</x:v>
      </x:c>
      <x:c r="F58" s="9" t="n">
        <x:v>150</x:v>
      </x:c>
      <x:c r="G58" s="9" t="str">
        <x:v>Allowance</x:v>
      </x:c>
      <x:c r="H58" s="9"/>
      <x:c r="I58" s="9" t="n">
        <x:f>D58*F58</x:f>
        <x:v>150</x:v>
      </x:c>
      <x:c r="J58" s="9" t="n">
        <x:f>I58+IF(ISNUMBER(H58),H58,0)</x:f>
        <x:v>150</x:v>
      </x:c>
      <x:c r="K58" s="8" t="str">
        <x:v>Unquoted</x:v>
      </x:c>
      <x:c r="L58" s="8" t="str">
        <x:v>Allowance; no supplier quote</x:v>
      </x:c>
      <x:c r="M58" s="8" t="str">
        <x:v>Provisional lengths: about 25–30 m motor cable, 25–30 m signal cable. VFD cable already in spindle kit. Final wire gauges/routes determine purchase.</x:v>
      </x:c>
    </x:row>
    <x:row r="59" ht="90" customHeight="1">
      <x:c r="A59" s="8" t="str">
        <x:v>E15</x:v>
      </x:c>
      <x:c r="B59" s="8" t="str">
        <x:v>Controls</x:v>
      </x:c>
      <x:c r="C59" s="8" t="str">
        <x:v>DIN rail, terminals, glands and ferrules</x:v>
      </x:c>
      <x:c r="D59" s="8" t="n">
        <x:v>1</x:v>
      </x:c>
      <x:c r="E59" s="8" t="str">
        <x:v>lot</x:v>
      </x:c>
      <x:c r="F59" s="9" t="n">
        <x:v>65</x:v>
      </x:c>
      <x:c r="G59" s="9" t="str">
        <x:v>Allowance</x:v>
      </x:c>
      <x:c r="H59" s="9"/>
      <x:c r="I59" s="9" t="n">
        <x:f>D59*F59</x:f>
        <x:v>65</x:v>
      </x:c>
      <x:c r="J59" s="9" t="n">
        <x:f>I59+IF(ISNUMBER(H59),H59,0)</x:f>
        <x:v>65</x:v>
      </x:c>
      <x:c r="K59" s="8" t="str">
        <x:v>Unquoted</x:v>
      </x:c>
      <x:c r="L59" s="8" t="str">
        <x:v>Allowance; no supplier quote</x:v>
      </x:c>
      <x:c r="M59" s="8" t="str">
        <x:v>Allowance for complete cabinet termination and service labeling.</x:v>
      </x:c>
    </x:row>
    <x:row r="60" ht="90" customHeight="1">
      <x:c r="A60" s="8" t="str">
        <x:v>E16</x:v>
      </x:c>
      <x:c r="B60" s="8" t="str">
        <x:v>Controls</x:v>
      </x:c>
      <x:c r="C60" s="8" t="str">
        <x:v>Cabinet cooling and segregated VFD housing</x:v>
      </x:c>
      <x:c r="D60" s="8" t="n">
        <x:v>1</x:v>
      </x:c>
      <x:c r="E60" s="8" t="str">
        <x:v>lot</x:v>
      </x:c>
      <x:c r="F60" s="9" t="n">
        <x:v>75</x:v>
      </x:c>
      <x:c r="G60" s="9" t="str">
        <x:v>Allowance</x:v>
      </x:c>
      <x:c r="H60" s="9"/>
      <x:c r="I60" s="9" t="n">
        <x:f>D60*F60</x:f>
        <x:v>75</x:v>
      </x:c>
      <x:c r="J60" s="9" t="n">
        <x:f>I60+IF(ISNUMBER(H60),H60,0)</x:f>
        <x:v>75</x:v>
      </x:c>
      <x:c r="K60" s="8" t="str">
        <x:v>Unquoted</x:v>
      </x:c>
      <x:c r="L60" s="8" t="str">
        <x:v>Allowance; no supplier quote</x:v>
      </x:c>
      <x:c r="M60" s="8" t="str">
        <x:v>Filter fan/vents and separate VFD mounting allowance. Final thermal and space check pending.</x:v>
      </x:c>
    </x:row>
    <x:row r="61" ht="90" customHeight="1">
      <x:c r="A61" s="8" t="str">
        <x:v>E17</x:v>
      </x:c>
      <x:c r="B61" s="8" t="str">
        <x:v>Controls</x:v>
      </x:c>
      <x:c r="C61" s="8" t="str">
        <x:v>Host USB/Ethernet cables and strain reliefs</x:v>
      </x:c>
      <x:c r="D61" s="8" t="n">
        <x:v>1</x:v>
      </x:c>
      <x:c r="E61" s="8" t="str">
        <x:v>lot</x:v>
      </x:c>
      <x:c r="F61" s="9" t="n">
        <x:v>18</x:v>
      </x:c>
      <x:c r="G61" s="9" t="str">
        <x:v>Allowance</x:v>
      </x:c>
      <x:c r="H61" s="9"/>
      <x:c r="I61" s="9" t="n">
        <x:f>D61*F61</x:f>
        <x:v>18</x:v>
      </x:c>
      <x:c r="J61" s="9" t="n">
        <x:f>I61+IF(ISNUMBER(H61),H61,0)</x:f>
        <x:v>18</x:v>
      </x:c>
      <x:c r="K61" s="8" t="str">
        <x:v>Unquoted</x:v>
      </x:c>
      <x:c r="L61" s="8" t="str">
        <x:v>Allowance; no supplier quote</x:v>
      </x:c>
      <x:c r="M61" s="8" t="str">
        <x:v>CB1/Pi4B to Kraken USB data link, host network cable and restraints. Kraken Ethernet motion control is not assumed.</x:v>
      </x:c>
    </x:row>
    <x:row r="62" ht="90" customHeight="1">
      <x:c r="A62" s="8" t="str">
        <x:v>E19</x:v>
      </x:c>
      <x:c r="B62" s="8" t="str">
        <x:v>Controls</x:v>
      </x:c>
      <x:c r="C62" s="8" t="str">
        <x:v>BIGTREETECH CB1 V2.2 host module</x:v>
      </x:c>
      <x:c r="D62" s="8" t="n">
        <x:v>1</x:v>
      </x:c>
      <x:c r="E62" s="8" t="str">
        <x:v>each</x:v>
      </x:c>
      <x:c r="F62" s="9" t="n">
        <x:v>32.99</x:v>
      </x:c>
      <x:c r="G62" s="9" t="str">
        <x:v>Screenshot</x:v>
      </x:c>
      <x:c r="H62" s="9"/>
      <x:c r="I62" s="9" t="n">
        <x:f>D62*F62</x:f>
        <x:v>32.99</x:v>
      </x:c>
      <x:c r="J62" s="9" t="n">
        <x:f>I62+IF(ISNUMBER(H62),H62,0)</x:f>
        <x:v>32.99</x:v>
      </x:c>
      <x:c r="K62" s="8" t="str">
        <x:v>Unquoted</x:v>
      </x:c>
      <x:c r="L62" s="8" t="str">
        <x:v>https://github.com/bigtreetech/CB1</x:v>
      </x:c>
      <x:c r="M62" s="8" t="str">
        <x:v>User screenshot price $32.99 and Prime free-delivery badge. Exact ASIN and delivery ZIP are not visible. Kraken needs the separate Pi4B carrier E20; Manta accepts CB1 directly.</x:v>
      </x:c>
    </x:row>
    <x:row r="63" ht="90" customHeight="1">
      <x:c r="A63" s="8" t="str">
        <x:v>E20</x:v>
      </x:c>
      <x:c r="B63" s="8" t="str">
        <x:v>Controls</x:v>
      </x:c>
      <x:c r="C63" s="8" t="str">
        <x:v>BIGTREETECH Pi4B V1.0 carrier only</x:v>
      </x:c>
      <x:c r="D63" s="8" t="n">
        <x:v>1</x:v>
      </x:c>
      <x:c r="E63" s="8" t="str">
        <x:v>each</x:v>
      </x:c>
      <x:c r="F63" s="9" t="n">
        <x:v>28.98</x:v>
      </x:c>
      <x:c r="G63" s="9" t="str">
        <x:v>Observed</x:v>
      </x:c>
      <x:c r="H63" s="9"/>
      <x:c r="I63" s="9" t="n">
        <x:f>D63*F63</x:f>
        <x:v>28.98</x:v>
      </x:c>
      <x:c r="J63" s="9" t="n">
        <x:f>I63+IF(ISNUMBER(H63),H63,0)</x:f>
        <x:v>28.98</x:v>
      </x:c>
      <x:c r="K63" s="8" t="str">
        <x:v>Unquoted</x:v>
      </x:c>
      <x:c r="L63" s="8" t="str">
        <x:v>https://biqu.equipment/products/pi4b-adapter-v1-0?variant=39919128969314</x:v>
      </x:c>
      <x:c r="M63" s="8" t="str">
        <x:v>Carrier-only price; CB1 is already in E19. Connect the host to Kraken by USB. Omit carrier if Manta alternative is selected.</x:v>
      </x:c>
    </x:row>
    <x:row r="64" ht="90" customHeight="1">
      <x:c r="A64" s="8" t="str">
        <x:v>E21</x:v>
      </x:c>
      <x:c r="B64" s="8" t="str">
        <x:v>Controls</x:v>
      </x:c>
      <x:c r="C64" s="8" t="str">
        <x:v>Host microSD media, heatsink and fan</x:v>
      </x:c>
      <x:c r="D64" s="8" t="n">
        <x:v>1</x:v>
      </x:c>
      <x:c r="E64" s="8" t="str">
        <x:v>set</x:v>
      </x:c>
      <x:c r="F64" s="9" t="n">
        <x:v>25</x:v>
      </x:c>
      <x:c r="G64" s="9" t="str">
        <x:v>Allowance</x:v>
      </x:c>
      <x:c r="H64" s="9"/>
      <x:c r="I64" s="9" t="n">
        <x:f>D64*F64</x:f>
        <x:v>25</x:v>
      </x:c>
      <x:c r="J64" s="9" t="n">
        <x:f>I64+IF(ISNUMBER(H64),H64,0)</x:f>
        <x:v>25</x:v>
      </x:c>
      <x:c r="K64" s="8" t="str">
        <x:v>Unquoted</x:v>
      </x:c>
      <x:c r="L64" s="8" t="str">
        <x:v>Allowance; no supplier quote</x:v>
      </x:c>
      <x:c r="M64" s="8" t="str">
        <x:v>CB1 storage, controller firmware microSD and host cooling allowance. The selected controller firmware is grblHAL. No display included; compatible host sender setup remains to be commissioned.</x:v>
      </x:c>
    </x:row>
    <x:row r="65" ht="90" customHeight="1">
      <x:c r="A65" s="8" t="str">
        <x:v>E22</x:v>
      </x:c>
      <x:c r="B65" s="8" t="str">
        <x:v>Controls</x:v>
      </x:c>
      <x:c r="C65" s="8" t="str">
        <x:v>Isolated VFD speed and run interface</x:v>
      </x:c>
      <x:c r="D65" s="8" t="n">
        <x:v>1</x:v>
      </x:c>
      <x:c r="E65" s="8" t="str">
        <x:v>set</x:v>
      </x:c>
      <x:c r="F65" s="9" t="n">
        <x:v>35</x:v>
      </x:c>
      <x:c r="G65" s="9" t="str">
        <x:v>Allowance</x:v>
      </x:c>
      <x:c r="H65" s="9"/>
      <x:c r="I65" s="9" t="n">
        <x:f>D65*F65</x:f>
        <x:v>35</x:v>
      </x:c>
      <x:c r="J65" s="9" t="n">
        <x:f>I65+IF(ISNUMBER(H65),H65,0)</x:f>
        <x:v>35</x:v>
      </x:c>
      <x:c r="K65" s="8" t="str">
        <x:v>Unquoted</x:v>
      </x:c>
      <x:c r="L65" s="8" t="str">
        <x:v>Allowance; no supplier quote</x:v>
      </x:c>
      <x:c r="M65" s="8" t="str">
        <x:v>Isolated 5 kHz PWM-to-0–10 V and run-contact interface provision for the selected Kraken firmware. Exact interface module, VFD terminals and parameters remain unselected.</x:v>
      </x:c>
    </x:row>
    <x:row r="66" ht="90" customHeight="1">
      <x:c r="A66" s="8" t="str">
        <x:v>E10</x:v>
      </x:c>
      <x:c r="B66" s="8" t="str">
        <x:v>Controls</x:v>
      </x:c>
      <x:c r="C66" s="8" t="str">
        <x:v>Omron D2VW-01L2-1MS sealed gold-contact roller home switch</x:v>
      </x:c>
      <x:c r="D66" s="8" t="n">
        <x:v>4</x:v>
      </x:c>
      <x:c r="E66" s="8" t="str">
        <x:v>each</x:v>
      </x:c>
      <x:c r="F66" s="9" t="n">
        <x:v>14.09</x:v>
      </x:c>
      <x:c r="G66" s="9" t="str">
        <x:v>Observed</x:v>
      </x:c>
      <x:c r="H66" s="9"/>
      <x:c r="I66" s="9" t="n">
        <x:f>D66*F66</x:f>
        <x:v>56.36</x:v>
      </x:c>
      <x:c r="J66" s="9" t="n">
        <x:f>I66+IF(ISNUMBER(H66),H66,0)</x:f>
        <x:v>56.36</x:v>
      </x:c>
      <x:c r="K66" s="8" t="str">
        <x:v>Unquoted</x:v>
      </x:c>
      <x:c r="L66" s="8" t="str">
        <x:v>https://www.mouser.com/ProductDetail/Omron-Electronics/D2VW-01L2-1MS?qs=ImaqFqjHA4nlTsHd7%252BPS7w%3D%3D</x:v>
      </x:c>
      <x:c r="M66" s="8" t="str">
        <x:v>Replaces old $48 switch allowance. Three XY switches modeled; fourth Z mounting awaits supplier dimensions. Page warns of possible 10% tariff; actual charge unquoted.</x:v>
      </x:c>
    </x:row>
    <x:row r="67" ht="90" customHeight="1">
      <x:c r="A67" s="8" t="str">
        <x:v>E03</x:v>
      </x:c>
      <x:c r="B67" s="8" t="str">
        <x:v>Controls</x:v>
      </x:c>
      <x:c r="C67" s="8" t="str">
        <x:v>MEAN WELL LRS-350-24, shared 24 V / 14.6 A supply</x:v>
      </x:c>
      <x:c r="D67" s="8" t="n">
        <x:v>1</x:v>
      </x:c>
      <x:c r="E67" s="8" t="str">
        <x:v>each</x:v>
      </x:c>
      <x:c r="F67" s="9" t="n">
        <x:v>31.4</x:v>
      </x:c>
      <x:c r="G67" s="9" t="str">
        <x:v>Observed</x:v>
      </x:c>
      <x:c r="H67" s="9" t="n">
        <x:v>0</x:v>
      </x:c>
      <x:c r="I67" s="9" t="n">
        <x:f>D67*F67</x:f>
        <x:v>31.4</x:v>
      </x:c>
      <x:c r="J67" s="9" t="n">
        <x:f>I67+IF(ISNUMBER(H67),H67,0)</x:f>
        <x:v>31.4</x:v>
      </x:c>
      <x:c r="K67" s="8" t="str">
        <x:v>Advertised free</x:v>
      </x:c>
      <x:c r="L67" s="8" t="str">
        <x:v>https://www.amazon.com/dp/B013ETVO12</x:v>
      </x:c>
      <x:c r="M67" s="8" t="str">
        <x:v>Counted once; reserve at least 8 A for water system. Replaces earlier LRS-150-24.</x:v>
      </x:c>
    </x:row>
    <x:row r="68" ht="90" customHeight="1">
      <x:c r="A68" s="8" t="str">
        <x:v>E08</x:v>
      </x:c>
      <x:c r="B68" s="8" t="str">
        <x:v>Controls</x:v>
      </x:c>
      <x:c r="C68" s="8" t="str">
        <x:v>External UP/DOWN/ARC-OK torch-height controller</x:v>
      </x:c>
      <x:c r="D68" s="8" t="n">
        <x:v>1</x:v>
      </x:c>
      <x:c r="E68" s="8" t="str">
        <x:v>each</x:v>
      </x:c>
      <x:c r="F68" s="9" t="n">
        <x:v>220</x:v>
      </x:c>
      <x:c r="G68" s="9" t="str">
        <x:v>Allowance</x:v>
      </x:c>
      <x:c r="H68" s="9"/>
      <x:c r="I68" s="9" t="n">
        <x:f>D68*F68</x:f>
        <x:v>220</x:v>
      </x:c>
      <x:c r="J68" s="9" t="n">
        <x:f>I68+IF(ISNUMBER(H68),H68,0)</x:f>
        <x:v>220</x:v>
      </x:c>
      <x:c r="K68" s="8" t="str">
        <x:v>Unquoted</x:v>
      </x:c>
      <x:c r="L68" s="8" t="str">
        <x:v>https://www.poscope.com/product/plasmasenscompact/</x:v>
      </x:c>
      <x:c r="M68" s="8" t="str">
        <x:v>Candidate PlasmaSens Compact; exact cutter compatibility, USD checkout and shipping unresolved. This is not an external stepper driver.</x:v>
      </x:c>
    </x:row>
    <x:row r="69" ht="90" customHeight="1">
      <x:c r="A69" s="8" t="str">
        <x:v>E11</x:v>
      </x:c>
      <x:c r="B69" s="8" t="str">
        <x:v>Controls</x:v>
      </x:c>
      <x:c r="C69" s="8" t="str">
        <x:v>Bed, guard and head permissive mechanisms and switches</x:v>
      </x:c>
      <x:c r="D69" s="8" t="n">
        <x:v>1</x:v>
      </x:c>
      <x:c r="E69" s="8" t="str">
        <x:v>lot</x:v>
      </x:c>
      <x:c r="F69" s="9" t="n">
        <x:v>50</x:v>
      </x:c>
      <x:c r="G69" s="9" t="str">
        <x:v>Allowance</x:v>
      </x:c>
      <x:c r="H69" s="9"/>
      <x:c r="I69" s="9" t="n">
        <x:f>D69*F69</x:f>
        <x:v>50</x:v>
      </x:c>
      <x:c r="J69" s="9" t="n">
        <x:f>I69+IF(ISNUMBER(H69),H69,0)</x:f>
        <x:v>50</x:v>
      </x:c>
      <x:c r="K69" s="8" t="str">
        <x:v>Unquoted</x:v>
      </x:c>
      <x:c r="L69" s="8" t="str">
        <x:v>Allowance; no supplier quote</x:v>
      </x:c>
      <x:c r="M69" s="8" t="str">
        <x:v>Mechanism not yet fully detailed; this is not a claim that one switch verifies every bed fastener.</x:v>
      </x:c>
    </x:row>
    <x:row r="70" ht="90" customHeight="1">
      <x:c r="A70" s="8" t="str">
        <x:v>R02</x:v>
      </x:c>
      <x:c r="B70" s="8" t="str">
        <x:v>Router head</x:v>
      </x:c>
      <x:c r="C70" s="8" t="str">
        <x:v>Dust shoe and extraction hose</x:v>
      </x:c>
      <x:c r="D70" s="8" t="n">
        <x:v>1</x:v>
      </x:c>
      <x:c r="E70" s="8" t="str">
        <x:v>set</x:v>
      </x:c>
      <x:c r="F70" s="9" t="n">
        <x:v>65</x:v>
      </x:c>
      <x:c r="G70" s="9" t="str">
        <x:v>Allowance</x:v>
      </x:c>
      <x:c r="H70" s="9"/>
      <x:c r="I70" s="9" t="n">
        <x:f>D70*F70</x:f>
        <x:v>65</x:v>
      </x:c>
      <x:c r="J70" s="9" t="n">
        <x:f>I70+IF(ISNUMBER(H70),H70,0)</x:f>
        <x:v>65</x:v>
      </x:c>
      <x:c r="K70" s="8" t="str">
        <x:v>Unquoted</x:v>
      </x:c>
      <x:c r="L70" s="8" t="str">
        <x:v>Allowance; no supplier quote</x:v>
      </x:c>
      <x:c r="M70" s="8" t="str">
        <x:v>Choose dust shoe and hose for actual 65 mm spindle and tool length. Shop extractor is excluded if not already owned.</x:v>
      </x:c>
    </x:row>
    <x:row r="71" ht="90" customHeight="1">
      <x:c r="A71" s="8" t="str">
        <x:v>R03</x:v>
      </x:c>
      <x:c r="B71" s="8" t="str">
        <x:v>Router head</x:v>
      </x:c>
      <x:c r="C71" s="8" t="str">
        <x:v>Starter cutters and surfacing tool</x:v>
      </x:c>
      <x:c r="D71" s="8" t="n">
        <x:v>1</x:v>
      </x:c>
      <x:c r="E71" s="8" t="str">
        <x:v>lot</x:v>
      </x:c>
      <x:c r="F71" s="9" t="n">
        <x:v>90</x:v>
      </x:c>
      <x:c r="G71" s="9" t="str">
        <x:v>Allowance</x:v>
      </x:c>
      <x:c r="H71" s="9"/>
      <x:c r="I71" s="9" t="n">
        <x:f>D71*F71</x:f>
        <x:v>90</x:v>
      </x:c>
      <x:c r="J71" s="9" t="n">
        <x:f>I71+IF(ISNUMBER(H71),H71,0)</x:f>
        <x:v>90</x:v>
      </x:c>
      <x:c r="K71" s="8" t="str">
        <x:v>Unquoted</x:v>
      </x:c>
      <x:c r="L71" s="8" t="str">
        <x:v>Allowance; no supplier quote</x:v>
      </x:c>
      <x:c r="M71" s="8" t="str">
        <x:v>ER11-compatible starter cutter set and surfacing cutter only. Workholding hardware is counted in H08; no duplicate clamps. No 1/2-inch-shank bits.</x:v>
      </x:c>
    </x:row>
    <x:row r="72" ht="90" customHeight="1">
      <x:c r="A72" s="8" t="str">
        <x:v>R04</x:v>
      </x:c>
      <x:c r="B72" s="8" t="str">
        <x:v>Router head</x:v>
      </x:c>
      <x:c r="C72" s="8" t="str">
        <x:v>Touch plate / tool-height probe</x:v>
      </x:c>
      <x:c r="D72" s="8" t="n">
        <x:v>1</x:v>
      </x:c>
      <x:c r="E72" s="8" t="str">
        <x:v>each</x:v>
      </x:c>
      <x:c r="F72" s="9" t="n">
        <x:v>25</x:v>
      </x:c>
      <x:c r="G72" s="9" t="str">
        <x:v>Allowance</x:v>
      </x:c>
      <x:c r="H72" s="9"/>
      <x:c r="I72" s="9" t="n">
        <x:f>D72*F72</x:f>
        <x:v>25</x:v>
      </x:c>
      <x:c r="J72" s="9" t="n">
        <x:f>I72+IF(ISNUMBER(H72),H72,0)</x:f>
        <x:v>25</x:v>
      </x:c>
      <x:c r="K72" s="8" t="str">
        <x:v>Unquoted</x:v>
      </x:c>
      <x:c r="L72" s="8" t="str">
        <x:v>Allowance; no supplier quote</x:v>
      </x:c>
      <x:c r="M72" s="8" t="str">
        <x:v>Verify isolated input and controller configuration.</x:v>
      </x:c>
    </x:row>
    <x:row r="73" ht="90" customHeight="1">
      <x:c r="A73" s="8" t="str">
        <x:v>R05</x:v>
      </x:c>
      <x:c r="B73" s="8" t="str">
        <x:v>Router head</x:v>
      </x:c>
      <x:c r="C73" s="8" t="str">
        <x:v>Z anti-drop support/brake provision</x:v>
      </x:c>
      <x:c r="D73" s="8" t="n">
        <x:v>1</x:v>
      </x:c>
      <x:c r="E73" s="8" t="str">
        <x:v>set</x:v>
      </x:c>
      <x:c r="F73" s="9" t="n">
        <x:v>70</x:v>
      </x:c>
      <x:c r="G73" s="9" t="str">
        <x:v>Allowance</x:v>
      </x:c>
      <x:c r="H73" s="9"/>
      <x:c r="I73" s="9" t="n">
        <x:f>D73*F73</x:f>
        <x:v>70</x:v>
      </x:c>
      <x:c r="J73" s="9" t="n">
        <x:f>I73+IF(ISNUMBER(H73),H73,0)</x:f>
        <x:v>70</x:v>
      </x:c>
      <x:c r="K73" s="8" t="str">
        <x:v>Unquoted</x:v>
      </x:c>
      <x:c r="L73" s="8" t="str">
        <x:v>Allowance; no supplier quote</x:v>
      </x:c>
      <x:c r="M73" s="8" t="str">
        <x:v>Ball screw can backdrive. Exact counterbalance/brake depends on head mass and mounting clearance.</x:v>
      </x:c>
    </x:row>
    <x:row r="74" ht="90" customHeight="1">
      <x:c r="A74" s="8" t="str">
        <x:v>P01</x:v>
      </x:c>
      <x:c r="B74" s="8" t="str">
        <x:v>Plasma interface</x:v>
      </x:c>
      <x:c r="C74" s="8" t="str">
        <x:v>Torch floating touch-off / breakaway mount</x:v>
      </x:c>
      <x:c r="D74" s="8" t="n">
        <x:v>1</x:v>
      </x:c>
      <x:c r="E74" s="8" t="str">
        <x:v>set</x:v>
      </x:c>
      <x:c r="F74" s="9" t="n">
        <x:v>90</x:v>
      </x:c>
      <x:c r="G74" s="9" t="str">
        <x:v>Allowance</x:v>
      </x:c>
      <x:c r="H74" s="9"/>
      <x:c r="I74" s="9" t="n">
        <x:f>D74*F74</x:f>
        <x:v>90</x:v>
      </x:c>
      <x:c r="J74" s="9" t="n">
        <x:f>I74+IF(ISNUMBER(H74),H74,0)</x:f>
        <x:v>90</x:v>
      </x:c>
      <x:c r="K74" s="8" t="str">
        <x:v>Unquoted</x:v>
      </x:c>
      <x:c r="L74" s="8" t="str">
        <x:v>Allowance; no supplier quote</x:v>
      </x:c>
      <x:c r="M74" s="8" t="str">
        <x:v>Mounting the owned straight torch does not provide touch-off or THC. Rigid indexed router mount remains separate.</x:v>
      </x:c>
    </x:row>
    <x:row r="75" ht="90" customHeight="1">
      <x:c r="A75" s="8" t="str">
        <x:v>P02</x:v>
      </x:c>
      <x:c r="B75" s="8" t="str">
        <x:v>Plasma interface</x:v>
      </x:c>
      <x:c r="C75" s="8" t="str">
        <x:v>Isolated torch-start / arc interface and cable</x:v>
      </x:c>
      <x:c r="D75" s="8" t="n">
        <x:v>1</x:v>
      </x:c>
      <x:c r="E75" s="8" t="str">
        <x:v>set</x:v>
      </x:c>
      <x:c r="F75" s="9" t="n">
        <x:v>85</x:v>
      </x:c>
      <x:c r="G75" s="9" t="str">
        <x:v>Allowance</x:v>
      </x:c>
      <x:c r="H75" s="9"/>
      <x:c r="I75" s="9" t="n">
        <x:f>D75*F75</x:f>
        <x:v>85</x:v>
      </x:c>
      <x:c r="J75" s="9" t="n">
        <x:f>I75+IF(ISNUMBER(H75),H75,0)</x:f>
        <x:v>85</x:v>
      </x:c>
      <x:c r="K75" s="8" t="str">
        <x:v>Unquoted</x:v>
      </x:c>
      <x:c r="L75" s="8" t="str">
        <x:v>Allowance; no supplier quote</x:v>
      </x:c>
      <x:c r="M75" s="8" t="str">
        <x:v>Torch-start isolation and cutter cabling/accessories only; sensing hardware provision is E08. Actual cutter and HF immunity unresolved. Neither printer board is a direct plasma-voltage interface.</x:v>
      </x:c>
    </x:row>
    <x:row r="76" ht="90" customHeight="1">
      <x:c r="A76" s="8" t="str">
        <x:v>P03</x:v>
      </x:c>
      <x:c r="B76" s="8" t="str">
        <x:v>Plasma interface</x:v>
      </x:c>
      <x:c r="C76" s="8" t="str">
        <x:v>Torch lead support, shield and work-return lug</x:v>
      </x:c>
      <x:c r="D76" s="8" t="n">
        <x:v>1</x:v>
      </x:c>
      <x:c r="E76" s="8" t="str">
        <x:v>set</x:v>
      </x:c>
      <x:c r="F76" s="9" t="n">
        <x:v>40</x:v>
      </x:c>
      <x:c r="G76" s="9" t="str">
        <x:v>Allowance</x:v>
      </x:c>
      <x:c r="H76" s="9"/>
      <x:c r="I76" s="9" t="n">
        <x:f>D76*F76</x:f>
        <x:v>40</x:v>
      </x:c>
      <x:c r="J76" s="9" t="n">
        <x:f>I76+IF(ISNUMBER(H76),H76,0)</x:f>
        <x:v>40</x:v>
      </x:c>
      <x:c r="K76" s="8" t="str">
        <x:v>Unquoted</x:v>
      </x:c>
      <x:c r="L76" s="8" t="str">
        <x:v>Allowance; no supplier quote</x:v>
      </x:c>
      <x:c r="M76" s="8" t="str">
        <x:v>Keep torch cable drag off the Z. Protect modules and provide dedicated work-return path.</x:v>
      </x:c>
    </x:row>
    <x:row r="77" ht="90" customHeight="1">
      <x:c r="A77" s="8" t="str">
        <x:v>F01</x:v>
      </x:c>
      <x:c r="B77" s="8" t="str">
        <x:v>Fabrication</x:v>
      </x:c>
      <x:c r="C77" s="8" t="str">
        <x:v>DIY welding, cutting and assembly consumables</x:v>
      </x:c>
      <x:c r="D77" s="8" t="n">
        <x:v>1</x:v>
      </x:c>
      <x:c r="E77" s="8" t="str">
        <x:v>lot</x:v>
      </x:c>
      <x:c r="F77" s="9" t="n">
        <x:v>175</x:v>
      </x:c>
      <x:c r="G77" s="9" t="str">
        <x:v>Allowance</x:v>
      </x:c>
      <x:c r="H77" s="9"/>
      <x:c r="I77" s="9" t="n">
        <x:f>D77*F77</x:f>
        <x:v>175</x:v>
      </x:c>
      <x:c r="J77" s="9" t="n">
        <x:f>I77+IF(ISNUMBER(H77),H77,0)</x:f>
        <x:v>175</x:v>
      </x:c>
      <x:c r="K77" s="8" t="str">
        <x:v>Unquoted</x:v>
      </x:c>
      <x:c r="L77" s="8" t="str">
        <x:v>Allowance; no supplier quote</x:v>
      </x:c>
      <x:c r="M77" s="8" t="str">
        <x:v>User performs assembly; not a paid shop-fabrication quotation.</x:v>
      </x:c>
    </x:row>
    <x:row r="78" ht="90" customHeight="1">
      <x:c r="A78" s="8" t="str">
        <x:v>F02</x:v>
      </x:c>
      <x:c r="B78" s="8" t="str">
        <x:v>Fabrication</x:v>
      </x:c>
      <x:c r="C78" s="8" t="str">
        <x:v>Owner-performed rail datum finishing and flat-part cutting</x:v>
      </x:c>
      <x:c r="D78" s="8" t="n">
        <x:v>1</x:v>
      </x:c>
      <x:c r="E78" s="8" t="str">
        <x:v>lot</x:v>
      </x:c>
      <x:c r="F78" s="9" t="n">
        <x:v>0</x:v>
      </x:c>
      <x:c r="G78" s="9" t="str">
        <x:v>Owner work</x:v>
      </x:c>
      <x:c r="H78" s="9"/>
      <x:c r="I78" s="9" t="n">
        <x:f>D78*F78</x:f>
        <x:v>0</x:v>
      </x:c>
      <x:c r="J78" s="9" t="n">
        <x:f>I78+IF(ISNUMBER(H78),H78,0)</x:f>
        <x:v>0</x:v>
      </x:c>
      <x:c r="K78" s="8" t="str">
        <x:v>Not applicable</x:v>
      </x:c>
      <x:c r="L78" s="8" t="str">
        <x:v>User performs fabrication</x:v>
      </x:c>
      <x:c r="M78" s="8" t="str">
        <x:v>User is the fabricator. No outside-shop labor included; former $250 allowance removed. Required datum finishing and cutting remain fabrication operations. Materials and consumables are priced separately.</x:v>
      </x:c>
    </x:row>
    <x:row r="79" ht="90" customHeight="1">
      <x:c r="A79" s="8" t="str">
        <x:v>F03</x:v>
      </x:c>
      <x:c r="B79" s="8" t="str">
        <x:v>Fabrication</x:v>
      </x:c>
      <x:c r="C79" s="8" t="str">
        <x:v>Owner-performed motion coupler, clevis, shoe, clamp and stop machining</x:v>
      </x:c>
      <x:c r="D79" s="8" t="n">
        <x:v>1</x:v>
      </x:c>
      <x:c r="E79" s="8" t="str">
        <x:v>lot</x:v>
      </x:c>
      <x:c r="F79" s="9" t="n">
        <x:v>0</x:v>
      </x:c>
      <x:c r="G79" s="9" t="str">
        <x:v>Owner work</x:v>
      </x:c>
      <x:c r="H79" s="9"/>
      <x:c r="I79" s="9" t="n">
        <x:f>D79*F79</x:f>
        <x:v>0</x:v>
      </x:c>
      <x:c r="J79" s="9" t="n">
        <x:f>I79+IF(ISNUMBER(H79),H79,0)</x:f>
        <x:v>0</x:v>
      </x:c>
      <x:c r="K79" s="8" t="str">
        <x:v>Not applicable</x:v>
      </x:c>
      <x:c r="L79" s="8" t="str">
        <x:v>User performs fabrication</x:v>
      </x:c>
      <x:c r="M79" s="8" t="str">
        <x:v>User is the fabricator. No outside-shop labor included; former $900 allowance removed. Three couplers, six clevises, three shoes, three supports, two beam feet, two clamp halves, stops/cams, tapping and counterbores still require fabrication. Raw stock is in S08.</x:v>
      </x:c>
    </x:row>
    <x:row r="80" ht="90" customHeight="1">
      <x:c r="A80" s="8" t="str">
        <x:v>SHIP</x:v>
      </x:c>
      <x:c r="B80" s="8" t="str">
        <x:v>Shipping reserve</x:v>
      </x:c>
      <x:c r="C80" s="8" t="str">
        <x:v>Unquoted metal, controls and miscellaneous delivery reserve</x:v>
      </x:c>
      <x:c r="D80" s="8" t="n">
        <x:v>1</x:v>
      </x:c>
      <x:c r="E80" s="8" t="str">
        <x:v>lot</x:v>
      </x:c>
      <x:c r="F80" s="9" t="n">
        <x:v>300</x:v>
      </x:c>
      <x:c r="G80" s="9" t="str">
        <x:v>Reserve</x:v>
      </x:c>
      <x:c r="H80" s="9"/>
      <x:c r="I80" s="9" t="n">
        <x:f>D80*F80</x:f>
        <x:v>300</x:v>
      </x:c>
      <x:c r="J80" s="9" t="n">
        <x:f>I80+IF(ISNUMBER(H80),H80,0)</x:f>
        <x:v>300</x:v>
      </x:c>
      <x:c r="K80" s="8" t="str">
        <x:v>Unquoted</x:v>
      </x:c>
      <x:c r="L80" s="8" t="str">
        <x:v>Allowance; no supplier quote</x:v>
      </x:c>
      <x:c r="M80" s="8" t="str">
        <x:v>Includes the $20 water shipping reserve. It is not an actual carrier or checkout quote.</x:v>
      </x:c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</x:sheetData>
  <x:mergeCells>
    <x:mergeCell ref="A1:M1"/>
    <x:mergeCell ref="A2:M2"/>
    <x:mergeCell ref="A3:M4"/>
  </x:mergeCells>
  <x:pageMargins left="0.7" right="0.7" top="0.75" bottom="0.75" header="0.3" footer="0.3"/>
  <x:tableParts count="1">
    <x:tablePart xmlns:r="http://schemas.openxmlformats.org/officeDocument/2006/relationships" r:id="R6f57adb92e0f4bd1"/>
  </x:tableParts>
</x:worksheet>
</file>