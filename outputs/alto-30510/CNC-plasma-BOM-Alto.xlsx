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7bc75681d14a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dget" sheetId="1" r:id="Reec0aa4fb3e64d73"/>
    <x:sheet xmlns:r="http://schemas.openxmlformats.org/officeDocument/2006/relationships" name="Parts" sheetId="2" r:id="Rb4b3d1583c8f452e"/>
    <x:sheet xmlns:r="http://schemas.openxmlformats.org/officeDocument/2006/relationships" name="Shipping" sheetId="3" r:id="R84cd496a8a0e4bb8"/>
    <x:sheet xmlns:r="http://schemas.openxmlformats.org/officeDocument/2006/relationships" name="Metal quotes" sheetId="4" r:id="R78012ede351940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;($#,##0.00);$0.00"/>
    <x:numFmt numFmtId="201" formatCode="$#,##0.00"/>
  </x:numFmts>
  <x:fonts count="9">
    <x:font>
      <x:sz val="11"/>
      <x:name val="Carlito"/>
    </x:font>
    <x:font>
      <x:sz val="11"/>
      <x:color rgb="FF1565C0"/>
      <x:name val="Carlito"/>
    </x:font>
    <x:font>
      <x:sz val="10"/>
      <x:color rgb="FF26323E"/>
      <x:name val="Arial"/>
    </x:font>
    <x:font>
      <x:b/>
      <x:sz val="16"/>
      <x:color rgb="FF26323E"/>
      <x:name val="Arial"/>
    </x:font>
    <x:font>
      <x:i/>
      <x:sz val="10"/>
      <x:color rgb="FF5B6570"/>
      <x:name val="Arial"/>
    </x:font>
    <x:font>
      <x:b/>
      <x:sz val="10"/>
      <x:color rgb="FFFFFFFF"/>
      <x:name val="Arial"/>
    </x:font>
    <x:font>
      <x:b/>
      <x:sz val="10"/>
      <x:color rgb="FF26323E"/>
      <x:name val="Arial"/>
    </x:font>
    <x:font>
      <x:b/>
      <x:sz val="12"/>
      <x:color rgb="FF26323E"/>
      <x:name val="Arial"/>
    </x:font>
    <x:font>
      <x:sz val="10"/>
      <x:color rgb="FF1565C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53B50"/>
      </x:patternFill>
    </x:fill>
    <x:fill>
      <x:patternFill patternType="solid">
        <x:fgColor rgb="FFEEF2F5"/>
      </x:patternFill>
    </x:fill>
    <x:fill>
      <x:patternFill patternType="solid">
        <x:fgColor rgb="FFFFF1D4"/>
      </x:patternFill>
    </x:fill>
  </x:fills>
  <x:borders count="1">
    <x:border/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/>
    <x:xf numFmtId="201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200" fontId="2" fillId="2" borderId="0" xfId="0" applyNumberFormat="1" applyFont="1" applyFill="1" applyBorder="1" applyAlignment="1">
      <x:alignment vertical="center"/>
    </x:xf>
    <x:xf numFmtId="200" fontId="5" fillId="2" borderId="0" xfId="0" applyNumberFormat="1" applyFont="1" applyFill="1" applyBorder="1" applyAlignment="1">
      <x:alignment vertical="center"/>
    </x:xf>
    <x:xf numFmtId="200" fontId="5" fillId="2" borderId="0" xfId="0" applyNumberFormat="1" applyFont="1" applyFill="1" applyBorder="1" applyAlignment="1">
      <x:alignment vertical="center" wrapText="1"/>
    </x:xf>
    <x:xf numFmtId="200" fontId="5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/>
    </x:xf>
    <x:xf numFmtId="200" fontId="2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200" fontId="6" fillId="3" borderId="0" xfId="0" applyNumberFormat="1" applyFont="1" applyFill="1" applyBorder="1" applyAlignment="1">
      <x:alignment vertical="center"/>
    </x:xf>
    <x:xf numFmtId="200" fontId="2" fillId="4" borderId="0" xfId="0" applyNumberFormat="1" applyFont="1" applyFill="1" applyBorder="1" applyAlignment="1">
      <x:alignment vertical="center"/>
    </x:xf>
    <x:xf numFmtId="200" fontId="7" fillId="4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horizontal="center" vertical="center"/>
    </x:xf>
    <x:xf numFmtId="201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ill>
        <x:patternFill patternType="solid">
          <x:bgColor rgb="FFFFF7E6"/>
        </x:patternFill>
      </x:fill>
    </x:dxf>
    <x:dxf>
      <x:font>
        <x:b/>
        <x:color rgb="FFA52720"/>
      </x:font>
      <x:fill>
        <x:patternFill patternType="solid">
          <x:bgColor rgb="FFFCE5E3"/>
        </x:patternFill>
      </x:fill>
    </x:dxf>
    <x:dxf>
      <x:fill>
        <x:patternFill patternType="solid">
          <x:bgColor rgb="FFFFF1D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86370eaddc44c4" /><Relationship Type="http://schemas.openxmlformats.org/officeDocument/2006/relationships/theme" Target="/xl/theme/theme1.xml" Id="R243b81a2e24242b0" /><Relationship Type="http://schemas.openxmlformats.org/officeDocument/2006/relationships/sharedStrings" Target="/xl/sharedStrings.xml" Id="Rb8aa2711d96b49c6" /><Relationship Type="http://schemas.openxmlformats.org/officeDocument/2006/relationships/worksheet" Target="/xl/worksheets/sheet1.xml" Id="Reec0aa4fb3e64d73" /><Relationship Type="http://schemas.openxmlformats.org/officeDocument/2006/relationships/worksheet" Target="/xl/worksheets/sheet2.xml" Id="Rb4b3d1583c8f452e" /><Relationship Type="http://schemas.openxmlformats.org/officeDocument/2006/relationships/worksheet" Target="/xl/worksheets/sheet3.xml" Id="R84cd496a8a0e4bb8" /><Relationship Type="http://schemas.openxmlformats.org/officeDocument/2006/relationships/worksheet" Target="/xl/worksheets/sheet4.xml" Id="R78012ede35194014" /></Relationships>
</file>

<file path=xl/tables/table1.xml><?xml version="1.0" encoding="utf-8"?>
<x:table xmlns:x="http://schemas.openxmlformats.org/spreadsheetml/2006/main" id="1" name="PartsList" displayName="PartsList" ref="A5:K92" headerRowCount="1" totalsRowCount="0" totalsRowShown="0">
  <x:tableColumns count="11">
    <x:tableColumn id="1" name="ID"/>
    <x:tableColumn id="2" name="Scope"/>
    <x:tableColumn id="3" name="Assembly"/>
    <x:tableColumn id="4" name="Part / purchase size"/>
    <x:tableColumn id="5" name="Qty"/>
    <x:tableColumn id="6" name="Unit"/>
    <x:tableColumn id="7" name="Unit USD"/>
    <x:tableColumn id="8" name="Price basis"/>
    <x:tableColumn id="9" name="Goods USD"/>
    <x:tableColumn id="10" name="Shipment group"/>
    <x:tableColumn id="11" name="Selection 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hipmentList" displayName="ShipmentList" ref="A5:J23" headerRowCount="1" totalsRowCount="0" totalsRowShown="0">
  <x:tableColumns count="10">
    <x:tableColumn id="1" name="Shipment group"/>
    <x:tableColumn id="2" name="Scope"/>
    <x:tableColumn id="3" name="Supplier"/>
    <x:tableColumn id="4" name="Goods USD"/>
    <x:tableColumn id="5" name="Quoted ship USD"/>
    <x:tableColumn id="6" name="Ship reserve USD"/>
    <x:tableColumn id="7" name="Ship used USD"/>
    <x:tableColumn id="8" name="Budget incl. ship"/>
    <x:tableColumn id="9" name="Shipping basis"/>
    <x:tableColumn id="10" name="Condition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b086454196548c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c2da6a0201f46c4" /></Relationships>
</file>

<file path=xl/worksheets/sheet1.xml><?xml version="1.0" encoding="utf-8"?>
<x:worksheet xmlns:x="http://schemas.openxmlformats.org/spreadsheetml/2006/main">
  <x:sheetPr>
    <x:tabColor rgb="FF253B50"/>
  </x:sheetPr>
  <x:sheetViews>
    <x:sheetView showGridLines="0" workbookViewId="0"/>
  </x:sheetViews>
  <x:sheetFormatPr defaultRowHeight="15"/>
  <x:cols>
    <x:col min="1" max="1" width="33.75" hidden="0" customWidth="1"/>
    <x:col min="2" max="2" width="18.1299991607666" hidden="0" customWidth="1"/>
    <x:col min="3" max="3" width="16.25" hidden="0" customWidth="1"/>
    <x:col min="4" max="4" width="19.3799991607666" hidden="0" customWidth="1"/>
    <x:col min="5" max="5" width="3" hidden="0" customWidth="1"/>
    <x:col min="6" max="6" width="63.75" hidden="0" customWidth="1"/>
    <x:col min="7" max="7" width="3.75" hidden="0" customWidth="1"/>
    <x:col min="8" max="8" width="3.75" hidden="0" customWidth="1"/>
    <x:col min="9" max="9" width="3.75" hidden="0" customWidth="1"/>
  </x:cols>
  <x:sheetData>
    <x:row r="1" ht="24" customHeight="1">
      <x:c r="A1" s="7"/>
      <x:c r="B1" s="7"/>
      <x:c r="C1" s="7"/>
      <x:c r="D1" s="7"/>
      <x:c r="E1" s="7"/>
      <x:c r="F1" s="7"/>
      <x:c r="G1" s="7"/>
      <x:c r="H1" s="7"/>
      <x:c r="I1" s="7"/>
    </x:row>
    <x:row r="2" ht="32" customHeight="1">
      <x:c r="A2" s="9" t="str">
        <x:v>CNC / plasma table purchase budget</x:v>
      </x:c>
      <x:c r="B2" s="7"/>
      <x:c r="C2" s="7"/>
      <x:c r="D2" s="7"/>
      <x:c r="E2" s="7"/>
      <x:c r="F2" s="7"/>
      <x:c r="G2" s="7"/>
      <x:c r="H2" s="7"/>
      <x:c r="I2" s="7"/>
    </x:row>
    <x:row r="3" ht="24" customHeight="1">
      <x:c r="A3" s="10" t="str">
        <x:v>Alto, Georgia 30510 • USD • September 24, 2026 • estimates include shipping reserves, exclude sales tax</x:v>
      </x:c>
      <x:c r="B3" s="7"/>
      <x:c r="C3" s="7"/>
      <x:c r="D3" s="7"/>
      <x:c r="E3" s="7"/>
      <x:c r="F3" s="7"/>
      <x:c r="G3" s="7"/>
      <x:c r="H3" s="7"/>
      <x:c r="I3" s="7"/>
    </x:row>
    <x:row r="4" ht="24" customHeight="1">
      <x:c r="A4" s="7"/>
      <x:c r="B4" s="7"/>
      <x:c r="C4" s="7"/>
      <x:c r="D4" s="7"/>
      <x:c r="E4" s="7"/>
      <x:c r="F4" s="7"/>
      <x:c r="G4" s="7"/>
      <x:c r="H4" s="7"/>
      <x:c r="I4" s="7"/>
    </x:row>
    <x:row r="5" ht="32" customHeight="1">
      <x:c r="A5" s="16" t="str">
        <x:v>Common build</x:v>
      </x:c>
      <x:c r="B5" s="16" t="str">
        <x:v>Observed prices USD</x:v>
      </x:c>
      <x:c r="C5" s="16" t="str">
        <x:v>Allowances USD</x:v>
      </x:c>
      <x:c r="D5" s="16" t="str">
        <x:v>Goods USD</x:v>
      </x:c>
      <x:c r="E5" s="7" t="str"/>
      <x:c r="F5" s="7" t="str">
        <x:v>Notes</x:v>
      </x:c>
      <x:c r="G5" s="7"/>
      <x:c r="H5" s="7"/>
      <x:c r="I5" s="7"/>
    </x:row>
    <x:row r="6" ht="38" customHeight="1">
      <x:c r="A6" s="7" t="str">
        <x:v>Motion</x:v>
      </x:c>
      <x:c r="B6" s="8" t="n">
        <x:f>SUMIFS(Parts!$I$6:$I$92,Parts!$C$6:$C$92,A6,Parts!$B$6:$B$92,"Common",Parts!$H$6:$H$92,"Amazon offer")+SUMIFS(Parts!$I$6:$I$92,Parts!$C$6:$C$92,A6,Parts!$B$6:$B$92,"Common",Parts!$H$6:$H$92,"Posted price")+SUMIFS(Parts!$I$6:$I$92,Parts!$C$6:$C$92,A6,Parts!$B$6:$B$92,"Common",Parts!$H$6:$H$92,"Out of stock")+SUMIFS(Parts!$I$6:$I$92,Parts!$C$6:$C$92,A6,Parts!$B$6:$B$92,"Common",Parts!$H$6:$H$92,"User screenshot")</x:f>
        <x:v>1019.73</x:v>
      </x:c>
      <x:c r="C6" s="8" t="n">
        <x:f>SUMIFS(Parts!$I$6:$I$92,Parts!$C$6:$C$92,A6,Parts!$B$6:$B$92,"Common",Parts!$H$6:$H$92,"Allowance")</x:f>
        <x:v>150</x:v>
      </x:c>
      <x:c r="D6" s="8" t="n">
        <x:f>SUM(B6:C6)</x:f>
        <x:v>1169.73</x:v>
      </x:c>
      <x:c r="E6" s="7"/>
      <x:c r="F6" s="21" t="str">
        <x:v>Exact Amazon motion set: $868 with free delivery shown to Alto; no motors added twice.</x:v>
      </x:c>
      <x:c r="G6" s="7"/>
      <x:c r="H6" s="7"/>
      <x:c r="I6" s="7"/>
    </x:row>
    <x:row r="7" ht="38" customHeight="1">
      <x:c r="A7" s="7" t="str">
        <x:v>Frame and finish</x:v>
      </x:c>
      <x:c r="B7" s="8" t="n">
        <x:f>SUMIFS(Parts!$I$6:$I$92,Parts!$C$6:$C$92,A7,Parts!$B$6:$B$92,"Common",Parts!$H$6:$H$92,"Amazon offer")+SUMIFS(Parts!$I$6:$I$92,Parts!$C$6:$C$92,A7,Parts!$B$6:$B$92,"Common",Parts!$H$6:$H$92,"Posted price")+SUMIFS(Parts!$I$6:$I$92,Parts!$C$6:$C$92,A7,Parts!$B$6:$B$92,"Common",Parts!$H$6:$H$92,"Out of stock")+SUMIFS(Parts!$I$6:$I$92,Parts!$C$6:$C$92,A7,Parts!$B$6:$B$92,"Common",Parts!$H$6:$H$92,"User screenshot")</x:f>
        <x:v>142.32</x:v>
      </x:c>
      <x:c r="C7" s="8" t="n">
        <x:f>SUMIFS(Parts!$I$6:$I$92,Parts!$C$6:$C$92,A7,Parts!$B$6:$B$92,"Common",Parts!$H$6:$H$92,"Allowance")</x:f>
        <x:v>1824</x:v>
      </x:c>
      <x:c r="D7" s="8" t="n">
        <x:f>SUM(B7:C7)</x:f>
        <x:v>1966.32</x:v>
      </x:c>
      <x:c r="E7" s="7"/>
      <x:c r="F7" s="21"/>
      <x:c r="G7" s="7"/>
      <x:c r="H7" s="7"/>
      <x:c r="I7" s="7"/>
    </x:row>
    <x:row r="8" ht="38" customHeight="1">
      <x:c r="A8" s="7" t="str">
        <x:v>Router deck</x:v>
      </x:c>
      <x:c r="B8" s="8" t="n">
        <x:f>SUMIFS(Parts!$I$6:$I$92,Parts!$C$6:$C$92,A8,Parts!$B$6:$B$92,"Common",Parts!$H$6:$H$92,"Amazon offer")+SUMIFS(Parts!$I$6:$I$92,Parts!$C$6:$C$92,A8,Parts!$B$6:$B$92,"Common",Parts!$H$6:$H$92,"Posted price")+SUMIFS(Parts!$I$6:$I$92,Parts!$C$6:$C$92,A8,Parts!$B$6:$B$92,"Common",Parts!$H$6:$H$92,"Out of stock")+SUMIFS(Parts!$I$6:$I$92,Parts!$C$6:$C$92,A8,Parts!$B$6:$B$92,"Common",Parts!$H$6:$H$92,"User screenshot")</x:f>
        <x:v>176.6</x:v>
      </x:c>
      <x:c r="C8" s="8" t="n">
        <x:f>SUMIFS(Parts!$I$6:$I$92,Parts!$C$6:$C$92,A8,Parts!$B$6:$B$92,"Common",Parts!$H$6:$H$92,"Allowance")</x:f>
        <x:v>1533.22</x:v>
      </x:c>
      <x:c r="D8" s="8" t="n">
        <x:f>SUM(B8:C8)</x:f>
        <x:v>1709.82</x:v>
      </x:c>
      <x:c r="E8" s="7"/>
      <x:c r="F8" s="21" t="str">
        <x:v>Spindle ASIN B0BF5R3LNC is ER11 at $309.99. VFD, clamp and cable are included.</x:v>
      </x:c>
      <x:c r="G8" s="7"/>
      <x:c r="H8" s="7"/>
      <x:c r="I8" s="7"/>
    </x:row>
    <x:row r="9" ht="38" customHeight="1">
      <x:c r="A9" s="7" t="str">
        <x:v>Pan and slats</x:v>
      </x:c>
      <x:c r="B9" s="8" t="n">
        <x:f>SUMIFS(Parts!$I$6:$I$92,Parts!$C$6:$C$92,A9,Parts!$B$6:$B$92,"Common",Parts!$H$6:$H$92,"Amazon offer")+SUMIFS(Parts!$I$6:$I$92,Parts!$C$6:$C$92,A9,Parts!$B$6:$B$92,"Common",Parts!$H$6:$H$92,"Posted price")+SUMIFS(Parts!$I$6:$I$92,Parts!$C$6:$C$92,A9,Parts!$B$6:$B$92,"Common",Parts!$H$6:$H$92,"Out of stock")+SUMIFS(Parts!$I$6:$I$92,Parts!$C$6:$C$92,A9,Parts!$B$6:$B$92,"Common",Parts!$H$6:$H$92,"User screenshot")</x:f>
        <x:v>0</x:v>
      </x:c>
      <x:c r="C9" s="8" t="n">
        <x:f>SUMIFS(Parts!$I$6:$I$92,Parts!$C$6:$C$92,A9,Parts!$B$6:$B$92,"Common",Parts!$H$6:$H$92,"Allowance")</x:f>
        <x:v>360</x:v>
      </x:c>
      <x:c r="D9" s="8" t="n">
        <x:f>SUM(B9:C9)</x:f>
        <x:v>360</x:v>
      </x:c>
      <x:c r="E9" s="7"/>
      <x:c r="F9" s="21"/>
      <x:c r="G9" s="7"/>
      <x:c r="H9" s="7"/>
      <x:c r="I9" s="7"/>
    </x:row>
    <x:row r="10" ht="38" customHeight="1">
      <x:c r="A10" s="7" t="str">
        <x:v>Controls</x:v>
      </x:c>
      <x:c r="B10" s="8" t="n">
        <x:f>SUMIFS(Parts!$I$6:$I$92,Parts!$C$6:$C$92,A10,Parts!$B$6:$B$92,"Common",Parts!$H$6:$H$92,"Amazon offer")+SUMIFS(Parts!$I$6:$I$92,Parts!$C$6:$C$92,A10,Parts!$B$6:$B$92,"Common",Parts!$H$6:$H$92,"Posted price")+SUMIFS(Parts!$I$6:$I$92,Parts!$C$6:$C$92,A10,Parts!$B$6:$B$92,"Common",Parts!$H$6:$H$92,"Out of stock")+SUMIFS(Parts!$I$6:$I$92,Parts!$C$6:$C$92,A10,Parts!$B$6:$B$92,"Common",Parts!$H$6:$H$92,"User screenshot")</x:f>
        <x:v>396.40999999999997</x:v>
      </x:c>
      <x:c r="C10" s="8" t="n">
        <x:f>SUMIFS(Parts!$I$6:$I$92,Parts!$C$6:$C$92,A10,Parts!$B$6:$B$92,"Common",Parts!$H$6:$H$92,"Allowance")</x:f>
        <x:v>870</x:v>
      </x:c>
      <x:c r="D10" s="8" t="n">
        <x:f>SUM(B10:C10)</x:f>
        <x:v>1266.4099999999999</x:v>
      </x:c>
      <x:c r="E10" s="7"/>
      <x:c r="F10" s="21" t="str">
        <x:v>Main steel purchase: 5 x 20 ft. Verified nesting covers 29 parts with 3 mm kerf and 10 mm trim/bar.</x:v>
      </x:c>
      <x:c r="G10" s="7"/>
      <x:c r="H10" s="7"/>
      <x:c r="I10" s="7"/>
    </x:row>
    <x:row r="11" ht="38" customHeight="1">
      <x:c r="A11" s="7" t="str">
        <x:v>Router head</x:v>
      </x:c>
      <x:c r="B11" s="8" t="n">
        <x:f>SUMIFS(Parts!$I$6:$I$92,Parts!$C$6:$C$92,A11,Parts!$B$6:$B$92,"Common",Parts!$H$6:$H$92,"Amazon offer")+SUMIFS(Parts!$I$6:$I$92,Parts!$C$6:$C$92,A11,Parts!$B$6:$B$92,"Common",Parts!$H$6:$H$92,"Posted price")+SUMIFS(Parts!$I$6:$I$92,Parts!$C$6:$C$92,A11,Parts!$B$6:$B$92,"Common",Parts!$H$6:$H$92,"Out of stock")+SUMIFS(Parts!$I$6:$I$92,Parts!$C$6:$C$92,A11,Parts!$B$6:$B$92,"Common",Parts!$H$6:$H$92,"User screenshot")</x:f>
        <x:v>309.99</x:v>
      </x:c>
      <x:c r="C11" s="8" t="n">
        <x:f>SUMIFS(Parts!$I$6:$I$92,Parts!$C$6:$C$92,A11,Parts!$B$6:$B$92,"Common",Parts!$H$6:$H$92,"Allowance")</x:f>
        <x:v>250</x:v>
      </x:c>
      <x:c r="D11" s="8" t="n">
        <x:f>SUM(B11:C11)</x:f>
        <x:v>559.99</x:v>
      </x:c>
      <x:c r="E11" s="7"/>
      <x:c r="F11" s="21"/>
      <x:c r="G11" s="7"/>
      <x:c r="H11" s="7"/>
      <x:c r="I11" s="7"/>
    </x:row>
    <x:row r="12" ht="38" customHeight="1">
      <x:c r="A12" s="7" t="str">
        <x:v>Plasma interface</x:v>
      </x:c>
      <x:c r="B12" s="8" t="n">
        <x:f>SUMIFS(Parts!$I$6:$I$92,Parts!$C$6:$C$92,A12,Parts!$B$6:$B$92,"Common",Parts!$H$6:$H$92,"Amazon offer")+SUMIFS(Parts!$I$6:$I$92,Parts!$C$6:$C$92,A12,Parts!$B$6:$B$92,"Common",Parts!$H$6:$H$92,"Posted price")+SUMIFS(Parts!$I$6:$I$92,Parts!$C$6:$C$92,A12,Parts!$B$6:$B$92,"Common",Parts!$H$6:$H$92,"Out of stock")+SUMIFS(Parts!$I$6:$I$92,Parts!$C$6:$C$92,A12,Parts!$B$6:$B$92,"Common",Parts!$H$6:$H$92,"User screenshot")</x:f>
        <x:v>0</x:v>
      </x:c>
      <x:c r="C12" s="8" t="n">
        <x:f>SUMIFS(Parts!$I$6:$I$92,Parts!$C$6:$C$92,A12,Parts!$B$6:$B$92,"Common",Parts!$H$6:$H$92,"Allowance")</x:f>
        <x:v>215</x:v>
      </x:c>
      <x:c r="D12" s="8" t="n">
        <x:f>SUM(B12:C12)</x:f>
        <x:v>215</x:v>
      </x:c>
      <x:c r="E12" s="7"/>
      <x:c r="F12" s="21" t="str">
        <x:v>Owned: 12 CFM compressor, CV-15HS vacuum generator, solenoids and a similar straight torch.</x:v>
      </x:c>
      <x:c r="G12" s="7"/>
      <x:c r="H12" s="7"/>
      <x:c r="I12" s="7"/>
    </x:row>
    <x:row r="13" ht="38" customHeight="1">
      <x:c r="A13" s="7" t="str">
        <x:v>Water common</x:v>
      </x:c>
      <x:c r="B13" s="8" t="n">
        <x:f>SUMIFS(Parts!$I$6:$I$92,Parts!$C$6:$C$92,A13,Parts!$B$6:$B$92,"Common",Parts!$H$6:$H$92,"Amazon offer")+SUMIFS(Parts!$I$6:$I$92,Parts!$C$6:$C$92,A13,Parts!$B$6:$B$92,"Common",Parts!$H$6:$H$92,"Posted price")+SUMIFS(Parts!$I$6:$I$92,Parts!$C$6:$C$92,A13,Parts!$B$6:$B$92,"Common",Parts!$H$6:$H$92,"Out of stock")+SUMIFS(Parts!$I$6:$I$92,Parts!$C$6:$C$92,A13,Parts!$B$6:$B$92,"Common",Parts!$H$6:$H$92,"User screenshot")</x:f>
        <x:v>0</x:v>
      </x:c>
      <x:c r="C13" s="8" t="n">
        <x:f>SUMIFS(Parts!$I$6:$I$92,Parts!$C$6:$C$92,A13,Parts!$B$6:$B$92,"Common",Parts!$H$6:$H$92,"Allowance")</x:f>
        <x:v>470</x:v>
      </x:c>
      <x:c r="D13" s="8" t="n">
        <x:f>SUM(B13:C13)</x:f>
        <x:v>470</x:v>
      </x:c>
      <x:c r="E13" s="7"/>
      <x:c r="F13" s="21"/>
      <x:c r="G13" s="7"/>
      <x:c r="H13" s="7"/>
      <x:c r="I13" s="7"/>
    </x:row>
    <x:row r="14" ht="38" customHeight="1">
      <x:c r="A14" s="24" t="str">
        <x:v>Common goods subtotal</x:v>
      </x:c>
      <x:c r="B14" s="25" t="n">
        <x:f>SUM(B6:B13)</x:f>
        <x:v>2045.05</x:v>
      </x:c>
      <x:c r="C14" s="25" t="n">
        <x:f>SUM(C6:C13)</x:f>
        <x:v>5672.22</x:v>
      </x:c>
      <x:c r="D14" s="25" t="n">
        <x:f>SUM(D6:D13)</x:f>
        <x:v>7717.2699999999995</x:v>
      </x:c>
      <x:c r="E14" s="7"/>
      <x:c r="F14" s="21" t="str">
        <x:v>Kraken V1.1 + CB1 + Pi4B: $191.96 hardware. Manta + CB1 + four plug-in drivers: $159.82 alternative. Firmware/THC is unresolved; no external motor drivers.</x:v>
      </x:c>
      <x:c r="G14" s="7"/>
      <x:c r="H14" s="7"/>
      <x:c r="I14" s="7"/>
    </x:row>
    <x:row r="15" ht="38" customHeight="1">
      <x:c r="A15" s="7"/>
      <x:c r="B15" s="8"/>
      <x:c r="C15" s="8"/>
      <x:c r="D15" s="8"/>
      <x:c r="E15" s="7"/>
      <x:c r="F15" s="21"/>
      <x:c r="G15" s="7"/>
      <x:c r="H15" s="7"/>
      <x:c r="I15" s="7"/>
    </x:row>
    <x:row r="16" ht="38" customHeight="1">
      <x:c r="A16" s="7"/>
      <x:c r="B16" s="8"/>
      <x:c r="C16" s="8"/>
      <x:c r="D16" s="8"/>
      <x:c r="E16" s="7"/>
      <x:c r="F16" s="21" t="str">
        <x:v>Pneumatic chamber estimate includes an unquoted $700 fabrication allowance. A compressor-driven diaphragm pump is another option; see the procurement brief.</x:v>
      </x:c>
      <x:c r="G16" s="7"/>
      <x:c r="H16" s="7"/>
      <x:c r="I16" s="7"/>
    </x:row>
    <x:row r="17" ht="32" customHeight="1">
      <x:c r="A17" s="16" t="str">
        <x:v>Build route</x:v>
      </x:c>
      <x:c r="B17" s="20" t="str">
        <x:v>Goods USD</x:v>
      </x:c>
      <x:c r="C17" s="20" t="str">
        <x:v>Shipping USD</x:v>
      </x:c>
      <x:c r="D17" s="20" t="str">
        <x:v>Planning total USD</x:v>
      </x:c>
      <x:c r="E17" s="7"/>
      <x:c r="F17" s="7"/>
      <x:c r="G17" s="7"/>
      <x:c r="H17" s="7"/>
      <x:c r="I17" s="7"/>
    </x:row>
    <x:row r="18" ht="34" customHeight="1">
      <x:c r="A18" s="7" t="str">
        <x:v>Common + pneumatic water</x:v>
      </x:c>
      <x:c r="B18" s="8" t="n">
        <x:f>D14+SUMIFS(Parts!$I$6:$I$92,Parts!$B$6:$B$92,"Air option")</x:f>
        <x:v>8702.27</x:v>
      </x:c>
      <x:c r="C18" s="8" t="n">
        <x:f>SUMIFS(Shipping!$G$6:$G$23,Shipping!$B$6:$B$23,"Common")+SUMIFS(Shipping!$G$6:$G$23,Shipping!$B$6:$B$23,"Air option")</x:f>
        <x:v>565</x:v>
      </x:c>
      <x:c r="D18" s="27" t="n">
        <x:f>SUM(B18:C18)</x:f>
        <x:v>9267.27</x:v>
      </x:c>
      <x:c r="E18" s="7"/>
      <x:c r="F18" s="7"/>
      <x:c r="G18" s="7"/>
      <x:c r="H18" s="7"/>
      <x:c r="I18" s="7"/>
    </x:row>
    <x:row r="19" ht="34" customHeight="1">
      <x:c r="A19" s="7" t="str">
        <x:v>Common + electric pump water</x:v>
      </x:c>
      <x:c r="B19" s="8" t="n">
        <x:f>D14+SUMIFS(Parts!$I$6:$I$92,Parts!$B$6:$B$92,"Pump option")</x:f>
        <x:v>8544.449999999999</x:v>
      </x:c>
      <x:c r="C19" s="8" t="n">
        <x:f>SUMIFS(Shipping!$G$6:$G$23,Shipping!$B$6:$B$23,"Common")+SUMIFS(Shipping!$G$6:$G$23,Shipping!$B$6:$B$23,"Pump option")</x:f>
        <x:v>570</x:v>
      </x:c>
      <x:c r="D19" s="27" t="n">
        <x:f>SUM(B19:C19)</x:f>
        <x:v>9114.449999999999</x:v>
      </x:c>
      <x:c r="E19" s="7"/>
      <x:c r="F19" s="7"/>
      <x:c r="G19" s="7"/>
      <x:c r="H19" s="7"/>
      <x:c r="I19" s="7"/>
    </x:row>
    <x:row r="20" ht="24" customHeight="1">
      <x:c r="A20" s="7" t="str">
        <x:v>Verified Amazon basket with shipping</x:v>
      </x:c>
      <x:c r="B20" s="8"/>
      <x:c r="C20" s="8"/>
      <x:c r="D20" s="8" t="n">
        <x:f>SUM(Shipping!H6:H7)</x:f>
        <x:v>1382.44</x:v>
      </x:c>
      <x:c r="E20" s="7"/>
      <x:c r="F20" s="7"/>
      <x:c r="G20" s="7"/>
      <x:c r="H20" s="7"/>
      <x:c r="I20" s="7"/>
    </x:row>
    <x:row r="21" ht="24" customHeight="1">
      <x:c r="A21" s="7" t="str">
        <x:v>Shipping actually shown to Alto</x:v>
      </x:c>
      <x:c r="B21" s="8"/>
      <x:c r="C21" s="8"/>
      <x:c r="D21" s="8" t="n">
        <x:f>SUM(Shipping!E6:E7)</x:f>
        <x:v>0</x:v>
      </x:c>
      <x:c r="E21" s="7"/>
      <x:c r="F21" s="7"/>
      <x:c r="G21" s="7"/>
      <x:c r="H21" s="7"/>
      <x:c r="I21" s="7"/>
    </x:row>
    <x:row r="22" ht="24" customHeight="1">
      <x:c r="A22" s="7" t="str">
        <x:v>Replacement / required shop equipment</x:v>
      </x:c>
      <x:c r="B22" s="8"/>
      <x:c r="C22" s="8"/>
      <x:c r="D22" s="8" t="n">
        <x:f>SUMIFS(Shipping!$H$6:$H$23,Shipping!$B$6:$B$23,"Optional")</x:f>
        <x:v>1288.99</x:v>
      </x:c>
      <x:c r="E22" s="7"/>
      <x:c r="F22" s="7"/>
      <x:c r="G22" s="7"/>
      <x:c r="H22" s="7"/>
      <x:c r="I22" s="7"/>
    </x:row>
    <x:row r="23" ht="24" customHeight="1">
      <x:c r="A23" s="7"/>
      <x:c r="B23" s="7"/>
      <x:c r="C23" s="7"/>
      <x:c r="D23" s="7"/>
      <x:c r="E23" s="7"/>
      <x:c r="F23" s="7"/>
      <x:c r="G23" s="7"/>
      <x:c r="H23" s="7"/>
      <x:c r="I23" s="7"/>
    </x:row>
    <x:row r="24" ht="28" customHeight="1">
      <x:c r="A24" s="7" t="str">
        <x:v>Both build-route totals are estimates, not fully quoted delivered prices.</x:v>
      </x:c>
      <x:c r="B24" s="7"/>
      <x:c r="C24" s="7"/>
      <x:c r="D24" s="7"/>
      <x:c r="E24" s="7"/>
      <x:c r="F24" s="7"/>
      <x:c r="G24" s="7"/>
      <x:c r="H24" s="7"/>
      <x:c r="I24" s="7"/>
    </x:row>
    <x:row r="25" ht="28" customHeight="1">
      <x:c r="A25" s="7" t="str">
        <x:v>CB1 host is included. Browser device assumed available; extraction and any replacement cutter remain separate.</x:v>
      </x:c>
      <x:c r="B25" s="7"/>
      <x:c r="C25" s="7"/>
      <x:c r="D25" s="7"/>
      <x:c r="E25" s="7"/>
      <x:c r="F25" s="7"/>
      <x:c r="G25" s="7"/>
      <x:c r="H25" s="7"/>
      <x:c r="I25" s="7"/>
    </x:row>
    <x:row r="26" ht="28" customHeight="1">
      <x:c r="A26" s="7" t="str">
        <x:v>DIY welding and assembly labor, tax, fabrication tools and shop electrical installation are excluded.</x:v>
      </x:c>
      <x:c r="B26" s="7"/>
      <x:c r="C26" s="7"/>
      <x:c r="D26" s="7"/>
      <x:c r="E26" s="7"/>
      <x:c r="F26" s="7"/>
      <x:c r="G26" s="7"/>
      <x:c r="H26" s="7"/>
      <x:c r="I26" s="7"/>
    </x:row>
    <x:row r="27" ht="28" customHeight="1">
      <x:c r="A27" s="7" t="str">
        <x:v>Air route: pressure-qualified chamber and suitable controls must be engineered/quoted; do not pressurize the vented tank.</x:v>
      </x:c>
      <x:c r="B27" s="7"/>
      <x:c r="C27" s="7"/>
      <x:c r="D27" s="7"/>
      <x:c r="E27" s="7"/>
      <x:c r="F27" s="7"/>
      <x:c r="G27" s="7"/>
      <x:c r="H27" s="7"/>
      <x:c r="I27" s="7"/>
    </x:row>
    <x:row r="28" ht="28" customHeight="1">
      <x:c r="A28" s="7" t="str">
        <x:v>Pump route: vented tank, motorized drain and pump remain the Rev C baseline; sludge/media compatibility is pending.</x:v>
      </x:c>
      <x:c r="B28" s="7"/>
      <x:c r="C28" s="7"/>
      <x:c r="D28" s="7"/>
      <x:c r="E28" s="7"/>
      <x:c r="F28" s="7"/>
      <x:c r="G28" s="7"/>
      <x:c r="H28" s="7"/>
      <x:c r="I28" s="7"/>
    </x:row>
    <x:row r="29" ht="28" customHeight="1">
      <x:c r="A29" s="7" t="str">
        <x:v>CNC release open: Kraken/Manta live THC firmware is unpriced/unverified; cutter, motor ratings, geometry and I/O also require checks.</x:v>
      </x:c>
      <x:c r="B29" s="7"/>
      <x:c r="C29" s="7"/>
      <x:c r="D29" s="7"/>
      <x:c r="E29" s="7"/>
      <x:c r="F29" s="7"/>
      <x:c r="G29" s="7"/>
      <x:c r="H29" s="7"/>
      <x:c r="I29" s="7"/>
    </x:row>
    <x:row r="30" ht="24" customHeight="1">
      <x:c r="A30" s="7"/>
      <x:c r="B30" s="7"/>
      <x:c r="C30" s="7"/>
      <x:c r="D30" s="7"/>
      <x:c r="E30" s="7"/>
      <x:c r="F30" s="7"/>
      <x:c r="G30" s="7"/>
      <x:c r="H30" s="7"/>
      <x:c r="I30" s="7"/>
    </x:row>
    <x:row r="31" ht="24" customHeight="1">
      <x:c r="A31" s="7"/>
      <x:c r="B31" s="7"/>
      <x:c r="C31" s="7"/>
      <x:c r="D31" s="7"/>
      <x:c r="E31" s="7"/>
      <x:c r="F31" s="7"/>
      <x:c r="G31" s="7"/>
      <x:c r="H31" s="7"/>
      <x:c r="I31" s="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A6B5C1"/>
  </x:sheetPr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6.880000114440918" hidden="0" customWidth="1"/>
    <x:col min="2" max="2" width="13.130000114440918" hidden="0" customWidth="1"/>
    <x:col min="3" max="3" width="18.1299991607666" hidden="0" customWidth="1"/>
    <x:col min="4" max="4" width="43.75" hidden="0" customWidth="1"/>
    <x:col min="5" max="5" width="6" hidden="0" customWidth="1"/>
    <x:col min="6" max="6" width="8" hidden="0" customWidth="1"/>
    <x:col min="7" max="7" width="12" hidden="0" customWidth="1"/>
    <x:col min="8" max="8" width="13.75" hidden="0" customWidth="1"/>
    <x:col min="9" max="9" width="13.130000114440918" hidden="0" customWidth="1"/>
    <x:col min="10" max="10" width="16.8799991607666" hidden="0" customWidth="1"/>
    <x:col min="11" max="11" width="20" hidden="0" customWidth="1"/>
    <x:col min="12" max="12" width="2.5" hidden="0" customWidth="1"/>
    <x:col min="13" max="13" width="63.75" hidden="0" customWidth="1"/>
    <x:col min="14" max="14" width="71.25" hidden="0" customWidth="1"/>
  </x:cols>
  <x:sheetData>
    <x:row r="1" ht="24" customHeight="1">
      <x:c r="A1" s="7"/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</x:row>
    <x:row r="2" ht="32" customHeight="1">
      <x:c r="A2" s="9" t="str">
        <x:v>Bill of materials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 ht="24" customHeight="1">
      <x:c r="A3" s="10" t="str">
        <x:v>Rev C geometry with explicit US-stock adjustments. Prices checked September 24, 2026. USD. Tax excluded.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</x:row>
    <x:row r="4" ht="24" customHeight="1">
      <x:c r="A4" s="7"/>
      <x:c r="B4" s="7"/>
      <x:c r="C4" s="7"/>
      <x:c r="D4" s="7"/>
      <x:c r="E4" s="7"/>
      <x:c r="F4" s="7"/>
      <x:c r="G4" s="7"/>
      <x:c r="H4" s="7"/>
      <x:c r="I4" s="7"/>
      <x:c r="J4" s="7"/>
      <x:c r="K4" s="7"/>
      <x:c r="L4" s="7"/>
      <x:c r="M4" s="7"/>
      <x:c r="N4" s="7"/>
    </x:row>
    <x:row r="5" ht="32" customHeight="1">
      <x:c r="A5" s="16" t="str">
        <x:v>ID</x:v>
      </x:c>
      <x:c r="B5" s="16" t="str">
        <x:v>Scope</x:v>
      </x:c>
      <x:c r="C5" s="16" t="str">
        <x:v>Assembly</x:v>
      </x:c>
      <x:c r="D5" s="16" t="str">
        <x:v>Part / purchase size</x:v>
      </x:c>
      <x:c r="E5" s="16" t="str">
        <x:v>Qty</x:v>
      </x:c>
      <x:c r="F5" s="16" t="str">
        <x:v>Unit</x:v>
      </x:c>
      <x:c r="G5" s="16" t="str">
        <x:v>Unit USD</x:v>
      </x:c>
      <x:c r="H5" s="16" t="str">
        <x:v>Price basis</x:v>
      </x:c>
      <x:c r="I5" s="16" t="str">
        <x:v>Goods USD</x:v>
      </x:c>
      <x:c r="J5" s="16" t="str">
        <x:v>Shipment group</x:v>
      </x:c>
      <x:c r="K5" s="16" t="str">
        <x:v>Selection status</x:v>
      </x:c>
      <x:c r="L5" s="7" t="str"/>
      <x:c r="M5" s="16" t="str">
        <x:v>Source URL</x:v>
      </x:c>
      <x:c r="N5" s="16" t="str">
        <x:v>Fit / inclusion / price notes</x:v>
      </x:c>
    </x:row>
    <x:row r="6" ht="60" customHeight="1">
      <x:c r="A6" s="21" t="str">
        <x:v>M01</x:v>
      </x:c>
      <x:c r="B6" s="21" t="str">
        <x:v>Common</x:v>
      </x:c>
      <x:c r="C6" s="21" t="str">
        <x:v>Motion</x:v>
      </x:c>
      <x:c r="D6" s="21" t="str">
        <x:v>KHMOS HMS40 X, 800 mm stroke / 10 mm lead</x:v>
      </x:c>
      <x:c r="E6" s="29" t="n">
        <x:v>1</x:v>
      </x:c>
      <x:c r="F6" s="29" t="str">
        <x:v>each</x:v>
      </x:c>
      <x:c r="G6" s="28" t="n">
        <x:v>236</x:v>
      </x:c>
      <x:c r="H6" s="28" t="str">
        <x:v>Amazon offer</x:v>
      </x:c>
      <x:c r="I6" s="28" t="n">
        <x:f>E6*G6</x:f>
        <x:v>236</x:v>
      </x:c>
      <x:c r="J6" s="21" t="str">
        <x:v>Amazon checked</x:v>
      </x:c>
      <x:c r="K6" s="21" t="str">
        <x:v>Verify at checkout</x:v>
      </x:c>
      <x:c r="L6" s="21"/>
      <x:c r="M6" s="30" t="str">
        <x:v>https://www.amazon.com/dp/B0C7GQTRRX</x:v>
      </x:c>
      <x:c r="N6" s="21" t="str">
        <x:v>User-selected ASIN. NEMA23 motor included. Free delivery displayed for Alto 30510. Do not assume promotional driver/switch inclusion.</x:v>
      </x:c>
    </x:row>
    <x:row r="7" ht="60" customHeight="1">
      <x:c r="A7" s="21" t="str">
        <x:v>M02</x:v>
      </x:c>
      <x:c r="B7" s="21" t="str">
        <x:v>Common</x:v>
      </x:c>
      <x:c r="C7" s="21" t="str">
        <x:v>Motion</x:v>
      </x:c>
      <x:c r="D7" s="21" t="str">
        <x:v>KHMOS HMS40 Y, 1000 mm stroke / 10 mm lead</x:v>
      </x:c>
      <x:c r="E7" s="29" t="n">
        <x:v>2</x:v>
      </x:c>
      <x:c r="F7" s="29" t="str">
        <x:v>each</x:v>
      </x:c>
      <x:c r="G7" s="28" t="n">
        <x:v>260</x:v>
      </x:c>
      <x:c r="H7" s="28" t="str">
        <x:v>Amazon offer</x:v>
      </x:c>
      <x:c r="I7" s="28" t="n">
        <x:f>E7*G7</x:f>
        <x:v>520</x:v>
      </x:c>
      <x:c r="J7" s="21" t="str">
        <x:v>Amazon checked</x:v>
      </x:c>
      <x:c r="K7" s="21" t="str">
        <x:v>Verify at checkout</x:v>
      </x:c>
      <x:c r="L7" s="21"/>
      <x:c r="M7" s="30" t="str">
        <x:v>https://www.amazon.com/dp/B0C7GN24S1</x:v>
      </x:c>
      <x:c r="N7" s="21" t="str">
        <x:v>Two independent Y drives for gantry squaring. Four units shown available at research time; availability can change.</x:v>
      </x:c>
    </x:row>
    <x:row r="8" ht="60" customHeight="1">
      <x:c r="A8" s="21" t="str">
        <x:v>M03</x:v>
      </x:c>
      <x:c r="B8" s="21" t="str">
        <x:v>Common</x:v>
      </x:c>
      <x:c r="C8" s="21" t="str">
        <x:v>Motion</x:v>
      </x:c>
      <x:c r="D8" s="21" t="str">
        <x:v>RATTMMOTOR ZBX80 Z, 100 mm / SFU1605</x:v>
      </x:c>
      <x:c r="E8" s="29" t="n">
        <x:v>1</x:v>
      </x:c>
      <x:c r="F8" s="29" t="str">
        <x:v>each</x:v>
      </x:c>
      <x:c r="G8" s="28" t="n">
        <x:v>112</x:v>
      </x:c>
      <x:c r="H8" s="28" t="str">
        <x:v>Amazon offer</x:v>
      </x:c>
      <x:c r="I8" s="28" t="n">
        <x:f>E8*G8</x:f>
        <x:v>112</x:v>
      </x:c>
      <x:c r="J8" s="21" t="str">
        <x:v>Amazon checked</x:v>
      </x:c>
      <x:c r="K8" s="21" t="str">
        <x:v>Verify at checkout</x:v>
      </x:c>
      <x:c r="L8" s="21"/>
      <x:c r="M8" s="30" t="str">
        <x:v>https://www.amazon.com/dp/B09MVYGLNQ</x:v>
      </x:c>
      <x:c r="N8" s="21" t="str">
        <x:v>Motor included. Current selected new offer supersedes the earlier $105 other-seller starting price. Coupon not deducted.</x:v>
      </x:c>
    </x:row>
    <x:row r="9" ht="60" customHeight="1">
      <x:c r="A9" s="21" t="str">
        <x:v>S01</x:v>
      </x:c>
      <x:c r="B9" s="21" t="str">
        <x:v>Common</x:v>
      </x:c>
      <x:c r="C9" s="21" t="str">
        <x:v>Frame and finish</x:v>
      </x:c>
      <x:c r="D9" s="21" t="str">
        <x:v>2 x 2 x .120-inch steel tube, 20-foot bars</x:v>
      </x:c>
      <x:c r="E9" s="29" t="n">
        <x:v>5</x:v>
      </x:c>
      <x:c r="F9" s="29" t="str">
        <x:v>bar</x:v>
      </x:c>
      <x:c r="G9" s="28" t="n">
        <x:v>100</x:v>
      </x:c>
      <x:c r="H9" s="28" t="str">
        <x:v>Allowance</x:v>
      </x:c>
      <x:c r="I9" s="28" t="n">
        <x:f>E9*G9</x:f>
        <x:v>500</x:v>
      </x:c>
      <x:c r="J9" s="21" t="str">
        <x:v>Local metal</x:v>
      </x:c>
      <x:c r="K9" s="21" t="str">
        <x:v>Quote required</x:v>
      </x:c>
      <x:c r="L9" s="21"/>
      <x:c r="M9" s="30" t="str">
        <x:v>https://steelmartatlanta.com/steelmart-gainesville-ga/</x:v>
      </x:c>
      <x:c r="N9" s="21" t="str">
        <x:v>Local allowance $500. Public raw-stock comparisons: $403 Looper, $487.50 Bobco, $1,011.50 Online Metals. See Metal quotes; freight is separate.</x:v>
      </x:c>
    </x:row>
    <x:row r="10" ht="60" customHeight="1">
      <x:c r="A10" s="21" t="str">
        <x:v>S02</x:v>
      </x:c>
      <x:c r="B10" s="21" t="str">
        <x:v>Common</x:v>
      </x:c>
      <x:c r="C10" s="21" t="str">
        <x:v>Router deck</x:v>
      </x:c>
      <x:c r="D10" s="21" t="str">
        <x:v>1 x 1 x .083-inch panel tube, 60-inch blanks</x:v>
      </x:c>
      <x:c r="E10" s="29" t="n">
        <x:v>9</x:v>
      </x:c>
      <x:c r="F10" s="29" t="str">
        <x:v>blank</x:v>
      </x:c>
      <x:c r="G10" s="28" t="n">
        <x:v>15.58</x:v>
      </x:c>
      <x:c r="H10" s="28" t="str">
        <x:v>Allowance</x:v>
      </x:c>
      <x:c r="I10" s="28" t="n">
        <x:f>E10*G10</x:f>
        <x:v>140.22</x:v>
      </x:c>
      <x:c r="J10" s="21" t="str">
        <x:v>Local metal</x:v>
      </x:c>
      <x:c r="K10" s="21" t="str">
        <x:v>Quote required</x:v>
      </x:c>
      <x:c r="L10" s="21"/>
      <x:c r="M10" s="30" t="str">
        <x:v>https://steelmartatlanta.com/steelmart-gainesville-ga/</x:v>
      </x:c>
      <x:c r="N10" s="21" t="str">
        <x:v>Local quote allowance anchored to Online Metals $15.58 per 60-inch piece. Use 12 cuts at 497 and 18 at 346.2 mm. US-stock adjustment is explicit.</x:v>
      </x:c>
    </x:row>
    <x:row r="11" ht="60" customHeight="1">
      <x:c r="A11" s="21" t="str">
        <x:v>S03</x:v>
      </x:c>
      <x:c r="B11" s="21" t="str">
        <x:v>Common</x:v>
      </x:c>
      <x:c r="C11" s="21" t="str">
        <x:v>Frame and finish</x:v>
      </x:c>
      <x:c r="D11" s="21" t="str">
        <x:v>1-1/4 x 1-1/4 x 1/8-inch brace angle, 20 feet</x:v>
      </x:c>
      <x:c r="E11" s="29" t="n">
        <x:v>1</x:v>
      </x:c>
      <x:c r="F11" s="29" t="str">
        <x:v>bar</x:v>
      </x:c>
      <x:c r="G11" s="28" t="n">
        <x:v>30</x:v>
      </x:c>
      <x:c r="H11" s="28" t="str">
        <x:v>Allowance</x:v>
      </x:c>
      <x:c r="I11" s="28" t="n">
        <x:f>E11*G11</x:f>
        <x:v>30</x:v>
      </x:c>
      <x:c r="J11" s="21" t="str">
        <x:v>Local metal</x:v>
      </x:c>
      <x:c r="K11" s="21" t="str">
        <x:v>Quote required</x:v>
      </x:c>
      <x:c r="L11" s="21"/>
      <x:c r="M11" s="30" t="str">
        <x:v>https://steelmartatlanta.com/steelmart-gainesville-ga/</x:v>
      </x:c>
      <x:c r="N11" s="21" t="str">
        <x:v>Near-size replacement for 30 x 30 x 3 mm angle. Five centerline lengths total 4.829 m. Final miters/attachment lengths to detail.</x:v>
      </x:c>
    </x:row>
    <x:row r="12" ht="60" customHeight="1">
      <x:c r="A12" s="21" t="str">
        <x:v>S04</x:v>
      </x:c>
      <x:c r="B12" s="21" t="str">
        <x:v>Common</x:v>
      </x:c>
      <x:c r="C12" s="21" t="str">
        <x:v>Frame and finish</x:v>
      </x:c>
      <x:c r="D12" s="21" t="str">
        <x:v>Rail cap strips, 1450 x 100 x 5/16-inch</x:v>
      </x:c>
      <x:c r="E12" s="29" t="n">
        <x:v>2</x:v>
      </x:c>
      <x:c r="F12" s="29" t="str">
        <x:v>blank</x:v>
      </x:c>
      <x:c r="G12" s="28" t="n">
        <x:v>60</x:v>
      </x:c>
      <x:c r="H12" s="28" t="str">
        <x:v>Allowance</x:v>
      </x:c>
      <x:c r="I12" s="28" t="n">
        <x:f>E12*G12</x:f>
        <x:v>120</x:v>
      </x:c>
      <x:c r="J12" s="21" t="str">
        <x:v>Local metal</x:v>
      </x:c>
      <x:c r="K12" s="21" t="str">
        <x:v>Quote required</x:v>
      </x:c>
      <x:c r="L12" s="21"/>
      <x:c r="M12" s="30" t="str">
        <x:v>https://steelmartatlanta.com/steelmart-gainesville-ga/</x:v>
      </x:c>
      <x:c r="N12" s="21" t="str">
        <x:v>Allowance for steel cut blanks. Final rail plane requires straightening/machining or shimming. Cap is 0.0625 mm thinner than the 8 mm concept.</x:v>
      </x:c>
    </x:row>
    <x:row r="13" ht="60" customHeight="1">
      <x:c r="A13" s="21" t="str">
        <x:v>S05</x:v>
      </x:c>
      <x:c r="B13" s="21" t="str">
        <x:v>Common</x:v>
      </x:c>
      <x:c r="C13" s="21" t="str">
        <x:v>Pan and slats</x:v>
      </x:c>
      <x:c r="D13" s="21" t="str">
        <x:v>11-gauge steel sheet, 4 x 8 feet</x:v>
      </x:c>
      <x:c r="E13" s="29" t="n">
        <x:v>2</x:v>
      </x:c>
      <x:c r="F13" s="29" t="str">
        <x:v>sheet</x:v>
      </x:c>
      <x:c r="G13" s="28" t="n">
        <x:v>180</x:v>
      </x:c>
      <x:c r="H13" s="28" t="str">
        <x:v>Allowance</x:v>
      </x:c>
      <x:c r="I13" s="28" t="n">
        <x:f>E13*G13</x:f>
        <x:v>360</x:v>
      </x:c>
      <x:c r="J13" s="21" t="str">
        <x:v>Local metal</x:v>
      </x:c>
      <x:c r="K13" s="21" t="str">
        <x:v>Quote required</x:v>
      </x:c>
      <x:c r="L13" s="21"/>
      <x:c r="M13" s="30" t="str">
        <x:v>https://steelmartatlanta.com/steelmart-gainesville-ga/</x:v>
      </x:c>
      <x:c r="N13" s="21" t="str">
        <x:v>One sheet allocation for pan; one for 19 slats plus spare stock. Raw-sheet benchmark $173.60 each. Confirm measured gauge; pan/slats need fabrication.</x:v>
      </x:c>
    </x:row>
    <x:row r="14" ht="60" customHeight="1">
      <x:c r="A14" s="21" t="str">
        <x:v>S06</x:v>
      </x:c>
      <x:c r="B14" s="21" t="str">
        <x:v>Common</x:v>
      </x:c>
      <x:c r="C14" s="21" t="str">
        <x:v>Frame and finish</x:v>
      </x:c>
      <x:c r="D14" s="21" t="str">
        <x:v>Steel small-plate stock and cut blanks</x:v>
      </x:c>
      <x:c r="E14" s="29" t="n">
        <x:v>1</x:v>
      </x:c>
      <x:c r="F14" s="29" t="str">
        <x:v>lot</x:v>
      </x:c>
      <x:c r="G14" s="28" t="n">
        <x:v>140</x:v>
      </x:c>
      <x:c r="H14" s="28" t="str">
        <x:v>Allowance</x:v>
      </x:c>
      <x:c r="I14" s="28" t="n">
        <x:f>E14*G14</x:f>
        <x:v>140</x:v>
      </x:c>
      <x:c r="J14" s="21" t="str">
        <x:v>Local metal</x:v>
      </x:c>
      <x:c r="K14" s="21" t="str">
        <x:v>Quote required</x:v>
      </x:c>
      <x:c r="L14" s="21"/>
      <x:c r="M14" s="30" t="str">
        <x:v>https://steelmartatlanta.com/steelmart-gainesville-ga/</x:v>
      </x:c>
      <x:c r="N14" s="21" t="str">
        <x:v>6 foot plates; 8 beam end diaphragms; 6 pan-bearer plates; pads, gussets, receiver plates, tube caps. Outlines/holes and any thickness substitutions need detailing.</x:v>
      </x:c>
    </x:row>
    <x:row r="15" ht="60" customHeight="1">
      <x:c r="A15" s="21" t="str">
        <x:v>S07</x:v>
      </x:c>
      <x:c r="B15" s="21" t="str">
        <x:v>Common</x:v>
      </x:c>
      <x:c r="C15" s="21" t="str">
        <x:v>Router deck</x:v>
      </x:c>
      <x:c r="D15" s="21" t="str">
        <x:v>6061-T651 aluminum 5/16-inch plate, 48 x 48 inches</x:v>
      </x:c>
      <x:c r="E15" s="29" t="n">
        <x:v>1</x:v>
      </x:c>
      <x:c r="F15" s="29" t="str">
        <x:v>sheet</x:v>
      </x:c>
      <x:c r="G15" s="28" t="n">
        <x:v>600</x:v>
      </x:c>
      <x:c r="H15" s="28" t="str">
        <x:v>Allowance</x:v>
      </x:c>
      <x:c r="I15" s="28" t="n">
        <x:f>E15*G15</x:f>
        <x:v>600</x:v>
      </x:c>
      <x:c r="J15" s="21" t="str">
        <x:v>Local metal</x:v>
      </x:c>
      <x:c r="K15" s="21" t="str">
        <x:v>Quote required</x:v>
      </x:c>
      <x:c r="L15" s="21"/>
      <x:c r="M15" s="30" t="str">
        <x:v>https://steelmartatlanta.com/steelmart-gainesville-ga/</x:v>
      </x:c>
      <x:c r="N15" s="21" t="str">
        <x:v>Local allowance $600, not a quote. Online Metals published $759.54 for this sheet. Six 497 x 397 blanks nest 2 x 3. Flatness/finish must be specified.</x:v>
      </x:c>
    </x:row>
    <x:row r="16" ht="60" customHeight="1">
      <x:c r="A16" s="21" t="str">
        <x:v>S08</x:v>
      </x:c>
      <x:c r="B16" s="21" t="str">
        <x:v>Common</x:v>
      </x:c>
      <x:c r="C16" s="21" t="str">
        <x:v>Frame and finish</x:v>
      </x:c>
      <x:c r="D16" s="21" t="str">
        <x:v>5052 aluminum skin sheet, about .080 inch, 4 x 8 feet</x:v>
      </x:c>
      <x:c r="E16" s="29" t="n">
        <x:v>1</x:v>
      </x:c>
      <x:c r="F16" s="29" t="str">
        <x:v>sheet</x:v>
      </x:c>
      <x:c r="G16" s="28" t="n">
        <x:v>300</x:v>
      </x:c>
      <x:c r="H16" s="28" t="str">
        <x:v>Allowance</x:v>
      </x:c>
      <x:c r="I16" s="28" t="n">
        <x:f>E16*G16</x:f>
        <x:v>300</x:v>
      </x:c>
      <x:c r="J16" s="21" t="str">
        <x:v>Local metal</x:v>
      </x:c>
      <x:c r="K16" s="21" t="str">
        <x:v>Quote required</x:v>
      </x:c>
      <x:c r="L16" s="21"/>
      <x:c r="M16" s="30" t="str">
        <x:v>https://steelmartatlanta.com/steelmart-gainesville-ga/</x:v>
      </x:c>
      <x:c r="N16" s="21" t="str">
        <x:v>Local allowance. Outside skins/lift-off covers only; raw-stock comparisons $254.64 for 4 x 10 ft at Looper and $510 for 4 x 8 ft at BCI.</x:v>
      </x:c>
    </x:row>
    <x:row r="17" ht="60" customHeight="1">
      <x:c r="A17" s="21" t="str">
        <x:v>S09</x:v>
      </x:c>
      <x:c r="B17" s="21" t="str">
        <x:v>Common</x:v>
      </x:c>
      <x:c r="C17" s="21" t="str">
        <x:v>Frame and finish</x:v>
      </x:c>
      <x:c r="D17" s="21" t="str">
        <x:v>Internal rack supports, liners and wet-zone shields</x:v>
      </x:c>
      <x:c r="E17" s="29" t="n">
        <x:v>1</x:v>
      </x:c>
      <x:c r="F17" s="29" t="str">
        <x:v>lot</x:v>
      </x:c>
      <x:c r="G17" s="28" t="n">
        <x:v>160</x:v>
      </x:c>
      <x:c r="H17" s="28" t="str">
        <x:v>Allowance</x:v>
      </x:c>
      <x:c r="I17" s="28" t="n">
        <x:f>E17*G17</x:f>
        <x:v>160</x:v>
      </x:c>
      <x:c r="J17" s="21" t="str">
        <x:v>Local metal</x:v>
      </x:c>
      <x:c r="K17" s="21" t="str">
        <x:v>Quote required</x:v>
      </x:c>
      <x:c r="L17" s="21"/>
      <x:c r="M17" s="30" t="str">
        <x:v>https://steelmartatlanta.com/steelmart-gainesville-ga/</x:v>
      </x:c>
      <x:c r="N17" s="21" t="str">
        <x:v>Front storage cabinet supports/liners only; reservoir cradle and leak tray are in W05. Light skins do not support the stored 100–110 kg deck. Preserve 1005 x 550 x 680 mm clear storage.</x:v>
      </x:c>
    </x:row>
    <x:row r="18" ht="60" customHeight="1">
      <x:c r="A18" s="21" t="str">
        <x:v>S10</x:v>
      </x:c>
      <x:c r="B18" s="21" t="str">
        <x:v>Common</x:v>
      </x:c>
      <x:c r="C18" s="21" t="str">
        <x:v>Motion</x:v>
      </x:c>
      <x:c r="D18" s="21" t="str">
        <x:v>Gantry/head adapter plate material</x:v>
      </x:c>
      <x:c r="E18" s="29" t="n">
        <x:v>1</x:v>
      </x:c>
      <x:c r="F18" s="29" t="str">
        <x:v>lot</x:v>
      </x:c>
      <x:c r="G18" s="28" t="n">
        <x:v>90</x:v>
      </x:c>
      <x:c r="H18" s="28" t="str">
        <x:v>Allowance</x:v>
      </x:c>
      <x:c r="I18" s="28" t="n">
        <x:f>E18*G18</x:f>
        <x:v>90</x:v>
      </x:c>
      <x:c r="J18" s="21" t="str">
        <x:v>Local metal</x:v>
      </x:c>
      <x:c r="K18" s="21" t="str">
        <x:v>Quote required</x:v>
      </x:c>
      <x:c r="L18" s="21"/>
      <x:c r="M18" s="30" t="str">
        <x:v>https://steelmartatlanta.com/steelmart-gainesville-ga/</x:v>
      </x:c>
      <x:c r="N18" s="21" t="str">
        <x:v>Aluminum stock for saddles, cheeks, gussets, two head plates and steel locating seats. Hole patterns and spindle/torch clearance remain to be finalized.</x:v>
      </x:c>
    </x:row>
    <x:row r="19" ht="60" customHeight="1">
      <x:c r="A19" s="21" t="str">
        <x:v>S11</x:v>
      </x:c>
      <x:c r="B19" s="21" t="str">
        <x:v>Common</x:v>
      </x:c>
      <x:c r="C19" s="21" t="str">
        <x:v>Motion</x:v>
      </x:c>
      <x:c r="D19" s="21" t="str">
        <x:v>80/20 standard 40-8080, 1200 mm cut</x:v>
      </x:c>
      <x:c r="E19" s="29" t="n">
        <x:v>1</x:v>
      </x:c>
      <x:c r="F19" s="29" t="str">
        <x:v>each</x:v>
      </x:c>
      <x:c r="G19" s="28" t="n">
        <x:v>151.73</x:v>
      </x:c>
      <x:c r="H19" s="28" t="str">
        <x:v>Posted price</x:v>
      </x:c>
      <x:c r="I19" s="28" t="n">
        <x:f>E19*G19</x:f>
        <x:v>151.73</x:v>
      </x:c>
      <x:c r="J19" s="21" t="str">
        <x:v>80/20</x:v>
      </x:c>
      <x:c r="K19" s="21" t="str">
        <x:v>Check payload and moment</x:v>
      </x:c>
      <x:c r="L19" s="21"/>
      <x:c r="M19" s="30" t="str">
        <x:v>https://8020.net/40-8080.html</x:v>
      </x:c>
      <x:c r="N19" s="21" t="str">
        <x:v>Price = 1200 x $0.1231 + $4.01 cut. Standard section is about 7.64 kg; include that mass in dual-Y and X assembly checks.</x:v>
      </x:c>
    </x:row>
    <x:row r="20" ht="60" customHeight="1">
      <x:c r="A20" s="21" t="str">
        <x:v>S12</x:v>
      </x:c>
      <x:c r="B20" s="21" t="str">
        <x:v>Common</x:v>
      </x:c>
      <x:c r="C20" s="21" t="str">
        <x:v>Router deck</x:v>
      </x:c>
      <x:c r="D20" s="21" t="str">
        <x:v>3/4-inch MDF, one 4 x 8-foot sheet</x:v>
      </x:c>
      <x:c r="E20" s="29" t="n">
        <x:v>1</x:v>
      </x:c>
      <x:c r="F20" s="29" t="str">
        <x:v>sheet</x:v>
      </x:c>
      <x:c r="G20" s="28" t="n">
        <x:v>55</x:v>
      </x:c>
      <x:c r="H20" s="28" t="str">
        <x:v>Allowance</x:v>
      </x:c>
      <x:c r="I20" s="28" t="n">
        <x:f>E20*G20</x:f>
        <x:v>55</x:v>
      </x:c>
      <x:c r="J20" s="21" t="str">
        <x:v>Amazon unselected</x:v>
      </x:c>
      <x:c r="K20" s="21" t="str">
        <x:v>Select exact part</x:v>
      </x:c>
      <x:c r="L20" s="21"/>
      <x:c r="M20" s="30" t="str">
        <x:v>https://www.homedepot.com/p/309177124</x:v>
      </x:c>
      <x:c r="N20" s="21" t="str">
        <x:v>Local-store allowance; six panels plus spares. Actual nominal 19.05 mm. Surface after assembly. Delivery allowance is on Shipping.</x:v>
      </x:c>
    </x:row>
    <x:row r="21" ht="60" customHeight="1">
      <x:c r="A21" s="21" t="str">
        <x:v>S13</x:v>
      </x:c>
      <x:c r="B21" s="21" t="str">
        <x:v>Common</x:v>
      </x:c>
      <x:c r="C21" s="21" t="str">
        <x:v>Frame and finish</x:v>
      </x:c>
      <x:c r="D21" s="21" t="str">
        <x:v>Dry sand, 50-pound bags</x:v>
      </x:c>
      <x:c r="E21" s="29" t="n">
        <x:v>3</x:v>
      </x:c>
      <x:c r="F21" s="29" t="str">
        <x:v>bag</x:v>
      </x:c>
      <x:c r="G21" s="28" t="n">
        <x:v>12</x:v>
      </x:c>
      <x:c r="H21" s="28" t="str">
        <x:v>Allowance</x:v>
      </x:c>
      <x:c r="I21" s="28" t="n">
        <x:f>E21*G21</x:f>
        <x:v>36</x:v>
      </x:c>
      <x:c r="J21" s="21" t="str">
        <x:v>Amazon unselected</x:v>
      </x:c>
      <x:c r="K21" s="21" t="str">
        <x:v>Select exact part</x:v>
      </x:c>
      <x:c r="L21" s="21"/>
      <x:c r="M21" s="30" t="str"/>
      <x:c r="N21" s="21" t="str">
        <x:v>68 kg purchased covers the approximately 58 kg stationary-frame fill. Fill only after welding; provide access to each separate cavity.</x:v>
      </x:c>
    </x:row>
    <x:row r="22" ht="60" customHeight="1">
      <x:c r="A22" s="21" t="str">
        <x:v>S14</x:v>
      </x:c>
      <x:c r="B22" s="21" t="str">
        <x:v>Common</x:v>
      </x:c>
      <x:c r="C22" s="21" t="str">
        <x:v>Frame and finish</x:v>
      </x:c>
      <x:c r="D22" s="21" t="str">
        <x:v>Primer, graphite finish and finishing consumables</x:v>
      </x:c>
      <x:c r="E22" s="29" t="n">
        <x:v>1</x:v>
      </x:c>
      <x:c r="F22" s="29" t="str">
        <x:v>lot</x:v>
      </x:c>
      <x:c r="G22" s="28" t="n">
        <x:v>100</x:v>
      </x:c>
      <x:c r="H22" s="28" t="str">
        <x:v>Allowance</x:v>
      </x:c>
      <x:c r="I22" s="28" t="n">
        <x:f>E22*G22</x:f>
        <x:v>100</x:v>
      </x:c>
      <x:c r="J22" s="21" t="str">
        <x:v>Amazon unselected</x:v>
      </x:c>
      <x:c r="K22" s="21" t="str">
        <x:v>Select exact part</x:v>
      </x:c>
      <x:c r="L22" s="21"/>
      <x:c r="M22" s="30" t="str"/>
      <x:c r="N22" s="21" t="str">
        <x:v>DIY paint allowance. Professional powder coating and user fabrication labor are excluded.</x:v>
      </x:c>
    </x:row>
    <x:row r="23" ht="60" customHeight="1">
      <x:c r="A23" s="21" t="str">
        <x:v>S15</x:v>
      </x:c>
      <x:c r="B23" s="21" t="str">
        <x:v>Common</x:v>
      </x:c>
      <x:c r="C23" s="21" t="str">
        <x:v>Frame and finish</x:v>
      </x:c>
      <x:c r="D23" s="21" t="str">
        <x:v>Cutting, pan bending and datum-machining service</x:v>
      </x:c>
      <x:c r="E23" s="29" t="n">
        <x:v>1</x:v>
      </x:c>
      <x:c r="F23" s="29" t="str">
        <x:v>lot</x:v>
      </x:c>
      <x:c r="G23" s="28" t="n">
        <x:v>300</x:v>
      </x:c>
      <x:c r="H23" s="28" t="str">
        <x:v>Allowance</x:v>
      </x:c>
      <x:c r="I23" s="28" t="n">
        <x:f>E23*G23</x:f>
        <x:v>300</x:v>
      </x:c>
      <x:c r="J23" s="21" t="str">
        <x:v>Local metal</x:v>
      </x:c>
      <x:c r="K23" s="21" t="str">
        <x:v>Quote required</x:v>
      </x:c>
      <x:c r="L23" s="21"/>
      <x:c r="M23" s="30" t="str">
        <x:v>https://steelmartatlanta.com/steelmart-gainesville-ga/</x:v>
      </x:c>
      <x:c r="N23" s="21" t="str">
        <x:v>Provisional outside-service allowance: stock cutting, pan bending and rail-cap datum finishing. Beam-seat finishing is only in H08. User welding labor/consumables excluded. Quote each service and delivery separately.</x:v>
      </x:c>
    </x:row>
    <x:row r="24" ht="60" customHeight="1">
      <x:c r="A24" s="21" t="str">
        <x:v>H01</x:v>
      </x:c>
      <x:c r="B24" s="21" t="str">
        <x:v>Common</x:v>
      </x:c>
      <x:c r="C24" s="21" t="str">
        <x:v>Frame and finish</x:v>
      </x:c>
      <x:c r="D24" s="21" t="str">
        <x:v>Carr Lane CLM-16-SLF M16 leveling feet</x:v>
      </x:c>
      <x:c r="E24" s="29" t="n">
        <x:v>6</x:v>
      </x:c>
      <x:c r="F24" s="29" t="str">
        <x:v>each</x:v>
      </x:c>
      <x:c r="G24" s="28" t="n">
        <x:v>23.72</x:v>
      </x:c>
      <x:c r="H24" s="28" t="str">
        <x:v>Posted price</x:v>
      </x:c>
      <x:c r="I24" s="28" t="n">
        <x:f>E24*G24</x:f>
        <x:v>142.32</x:v>
      </x:c>
      <x:c r="J24" s="21" t="str">
        <x:v>Carr Lane</x:v>
      </x:c>
      <x:c r="K24" s="21" t="str">
        <x:v>Check fit and stock</x:v>
      </x:c>
      <x:c r="L24" s="21"/>
      <x:c r="M24" s="30" t="str">
        <x:v>https://www.carrlane.com/product/leveling-feet/stud-leveling-feet/stud-leveling-feet/stud-leveling-feet-steel-zinc-plated/clm-16-slf</x:v>
      </x:c>
      <x:c r="N24" s="21" t="str">
        <x:v>6 feet, load through reinforced base plates/thread blocks. Published foot capacity is not a machine load rating.</x:v>
      </x:c>
    </x:row>
    <x:row r="25" ht="60" customHeight="1">
      <x:c r="A25" s="21" t="str">
        <x:v>H02</x:v>
      </x:c>
      <x:c r="B25" s="21" t="str">
        <x:v>Common</x:v>
      </x:c>
      <x:c r="C25" s="21" t="str">
        <x:v>Frame and finish</x:v>
      </x:c>
      <x:c r="D25" s="21" t="str">
        <x:v>M16 threaded blocks, jam nuts and base fastening</x:v>
      </x:c>
      <x:c r="E25" s="29" t="n">
        <x:v>6</x:v>
      </x:c>
      <x:c r="F25" s="29" t="str">
        <x:v>set</x:v>
      </x:c>
      <x:c r="G25" s="28" t="n">
        <x:v>8</x:v>
      </x:c>
      <x:c r="H25" s="28" t="str">
        <x:v>Allowance</x:v>
      </x:c>
      <x:c r="I25" s="28" t="n">
        <x:f>E25*G25</x:f>
        <x:v>48</x:v>
      </x:c>
      <x:c r="J25" s="21" t="str">
        <x:v>Amazon unselected</x:v>
      </x:c>
      <x:c r="K25" s="21" t="str">
        <x:v>Select exact part</x:v>
      </x:c>
      <x:c r="L25" s="21"/>
      <x:c r="M25" s="30" t="str"/>
      <x:c r="N25" s="21" t="str">
        <x:v>Do not rely on threads cut into the 0.120-inch tube wall. Plate stock is already in S06.</x:v>
      </x:c>
    </x:row>
    <x:row r="26" ht="60" customHeight="1">
      <x:c r="A26" s="21" t="str">
        <x:v>H03</x:v>
      </x:c>
      <x:c r="B26" s="21" t="str">
        <x:v>Common</x:v>
      </x:c>
      <x:c r="C26" s="21" t="str">
        <x:v>Router deck</x:v>
      </x:c>
      <x:c r="D26" s="21" t="str">
        <x:v>10 mm round locating pin, CLM-100-RP</x:v>
      </x:c>
      <x:c r="E26" s="29" t="n">
        <x:v>10</x:v>
      </x:c>
      <x:c r="F26" s="29" t="str">
        <x:v>each</x:v>
      </x:c>
      <x:c r="G26" s="28" t="n">
        <x:v>6.11</x:v>
      </x:c>
      <x:c r="H26" s="28" t="str">
        <x:v>Posted price</x:v>
      </x:c>
      <x:c r="I26" s="28" t="n">
        <x:f>E26*G26</x:f>
        <x:v>61.1</x:v>
      </x:c>
      <x:c r="J26" s="21" t="str">
        <x:v>Carr Lane</x:v>
      </x:c>
      <x:c r="K26" s="21" t="str">
        <x:v>Fit and stock pending</x:v>
      </x:c>
      <x:c r="L26" s="21"/>
      <x:c r="M26" s="30" t="str">
        <x:v>https://www.carrlane.com/product/locating-pins/locating-pins/round-diamond-pins/round-pins/clm-100-rp</x:v>
      </x:c>
      <x:c r="N26" s="21" t="str">
        <x:v>Six panel pins plus four beam pins as a budget candidate; beam interfaces may need a different size. Price page also displays a status error.</x:v>
      </x:c>
    </x:row>
    <x:row r="27" ht="60" customHeight="1">
      <x:c r="A27" s="21" t="str">
        <x:v>H04</x:v>
      </x:c>
      <x:c r="B27" s="21" t="str">
        <x:v>Common</x:v>
      </x:c>
      <x:c r="C27" s="21" t="str">
        <x:v>Router deck</x:v>
      </x:c>
      <x:c r="D27" s="21" t="str">
        <x:v>10 mm diamond locating pin, CLM-100-DPY</x:v>
      </x:c>
      <x:c r="E27" s="29" t="n">
        <x:v>10</x:v>
      </x:c>
      <x:c r="F27" s="29" t="str">
        <x:v>each</x:v>
      </x:c>
      <x:c r="G27" s="28" t="n">
        <x:v>11.55</x:v>
      </x:c>
      <x:c r="H27" s="28" t="str">
        <x:v>Posted price</x:v>
      </x:c>
      <x:c r="I27" s="28" t="n">
        <x:f>E27*G27</x:f>
        <x:v>115.5</x:v>
      </x:c>
      <x:c r="J27" s="21" t="str">
        <x:v>Carr Lane</x:v>
      </x:c>
      <x:c r="K27" s="21" t="str">
        <x:v>Fit and stock pending</x:v>
      </x:c>
      <x:c r="L27" s="21"/>
      <x:c r="M27" s="30" t="str">
        <x:v>https://www.carrlane.com/product/locating-pins/locating-pins/round-diamond-pins/diamond-pins/clm-100-dpy</x:v>
      </x:c>
      <x:c r="N27" s="21" t="str">
        <x:v>One per round-pin pair. Locate and orient the relief correctly; final bushing and receiver drawings pending.</x:v>
      </x:c>
    </x:row>
    <x:row r="28" ht="60" customHeight="1">
      <x:c r="A28" s="21" t="str">
        <x:v>H05</x:v>
      </x:c>
      <x:c r="B28" s="21" t="str">
        <x:v>Common</x:v>
      </x:c>
      <x:c r="C28" s="21" t="str">
        <x:v>Router deck</x:v>
      </x:c>
      <x:c r="D28" s="21" t="str">
        <x:v>Hardened locating bushings</x:v>
      </x:c>
      <x:c r="E28" s="29" t="n">
        <x:v>20</x:v>
      </x:c>
      <x:c r="F28" s="29" t="str">
        <x:v>each</x:v>
      </x:c>
      <x:c r="G28" s="28" t="n">
        <x:v>7</x:v>
      </x:c>
      <x:c r="H28" s="28" t="str">
        <x:v>Allowance</x:v>
      </x:c>
      <x:c r="I28" s="28" t="n">
        <x:f>E28*G28</x:f>
        <x:v>140</x:v>
      </x:c>
      <x:c r="J28" s="21" t="str">
        <x:v>Amazon unselected</x:v>
      </x:c>
      <x:c r="K28" s="21" t="str">
        <x:v>Select exact part</x:v>
      </x:c>
      <x:c r="L28" s="21"/>
      <x:c r="M28" s="30" t="str">
        <x:v>https://www.carrlane.com/product/locating-pins/locating-pins</x:v>
      </x:c>
      <x:c r="N28" s="21" t="str">
        <x:v>12 for panels and 8 for beams. Match pin fits and required engagement; price allowance.</x:v>
      </x:c>
    </x:row>
    <x:row r="29" ht="60" customHeight="1">
      <x:c r="A29" s="21" t="str">
        <x:v>H06</x:v>
      </x:c>
      <x:c r="B29" s="21" t="str">
        <x:v>Common</x:v>
      </x:c>
      <x:c r="C29" s="21" t="str">
        <x:v>Router deck</x:v>
      </x:c>
      <x:c r="D29" s="21" t="str">
        <x:v>Panel datum pads plus auxiliary supports</x:v>
      </x:c>
      <x:c r="E29" s="29" t="n">
        <x:v>6</x:v>
      </x:c>
      <x:c r="F29" s="29" t="str">
        <x:v>set</x:v>
      </x:c>
      <x:c r="G29" s="28" t="n">
        <x:v>15</x:v>
      </x:c>
      <x:c r="H29" s="28" t="str">
        <x:v>Allowance</x:v>
      </x:c>
      <x:c r="I29" s="28" t="n">
        <x:f>E29*G29</x:f>
        <x:v>90</x:v>
      </x:c>
      <x:c r="J29" s="21" t="str">
        <x:v>Amazon unselected</x:v>
      </x:c>
      <x:c r="K29" s="21" t="str">
        <x:v>Select exact part</x:v>
      </x:c>
      <x:c r="L29" s="21"/>
      <x:c r="M29" s="30" t="str"/>
      <x:c r="N29" s="21" t="str">
        <x:v>Per panel: 3 primary pads + 1 preset auxiliary support. Includes 18 pads and 6 auxiliary supports total; hardware allowance.</x:v>
      </x:c>
    </x:row>
    <x:row r="30" ht="60" customHeight="1">
      <x:c r="A30" s="21" t="str">
        <x:v>H07</x:v>
      </x:c>
      <x:c r="B30" s="21" t="str">
        <x:v>Common</x:v>
      </x:c>
      <x:c r="C30" s="21" t="str">
        <x:v>Router deck</x:v>
      </x:c>
      <x:c r="D30" s="21" t="str">
        <x:v>Captive M8 panel drawdowns, sleeves and access plugs</x:v>
      </x:c>
      <x:c r="E30" s="29" t="n">
        <x:v>24</x:v>
      </x:c>
      <x:c r="F30" s="29" t="str">
        <x:v>set</x:v>
      </x:c>
      <x:c r="G30" s="28" t="n">
        <x:v>8</x:v>
      </x:c>
      <x:c r="H30" s="28" t="str">
        <x:v>Allowance</x:v>
      </x:c>
      <x:c r="I30" s="28" t="n">
        <x:f>E30*G30</x:f>
        <x:v>192</x:v>
      </x:c>
      <x:c r="J30" s="21" t="str">
        <x:v>Amazon unselected</x:v>
      </x:c>
      <x:c r="K30" s="21" t="str">
        <x:v>Select exact part</x:v>
      </x:c>
      <x:c r="L30" s="21"/>
      <x:c r="M30" s="30" t="str"/>
      <x:c r="N30" s="21" t="str">
        <x:v>Four per panel, clamping through metal sleeves. Length/grade/plain neck and threaded engagement need final detail. Full set allowance, no duplicate screws.</x:v>
      </x:c>
    </x:row>
    <x:row r="31" ht="60" customHeight="1">
      <x:c r="A31" s="21" t="str">
        <x:v>H08</x:v>
      </x:c>
      <x:c r="B31" s="21" t="str">
        <x:v>Common</x:v>
      </x:c>
      <x:c r="C31" s="21" t="str">
        <x:v>Router deck</x:v>
      </x:c>
      <x:c r="D31" s="21" t="str">
        <x:v>Beam riser and docking seat finishing/hardware</x:v>
      </x:c>
      <x:c r="E31" s="29" t="n">
        <x:v>8</x:v>
      </x:c>
      <x:c r="F31" s="29" t="str">
        <x:v>set</x:v>
      </x:c>
      <x:c r="G31" s="28" t="n">
        <x:v>15</x:v>
      </x:c>
      <x:c r="H31" s="28" t="str">
        <x:v>Allowance</x:v>
      </x:c>
      <x:c r="I31" s="28" t="n">
        <x:f>E31*G31</x:f>
        <x:v>120</x:v>
      </x:c>
      <x:c r="J31" s="21" t="str">
        <x:v>Amazon unselected</x:v>
      </x:c>
      <x:c r="K31" s="21" t="str">
        <x:v>Select exact part</x:v>
      </x:c>
      <x:c r="L31" s="21"/>
      <x:c r="M31" s="30" t="str"/>
      <x:c r="N31" s="21" t="str">
        <x:v>Eight 30 mm riser feet and eight fixed contact seats. Raw plate stock is in S06; only beam-seat finishing/hardware is here, excluded from S15. Exact riser construction unresolved.</x:v>
      </x:c>
    </x:row>
    <x:row r="32" ht="60" customHeight="1">
      <x:c r="A32" s="21" t="str">
        <x:v>H09</x:v>
      </x:c>
      <x:c r="B32" s="21" t="str">
        <x:v>Common</x:v>
      </x:c>
      <x:c r="C32" s="21" t="str">
        <x:v>Router deck</x:v>
      </x:c>
      <x:c r="D32" s="21" t="str">
        <x:v>Captive beam clamps and receivers</x:v>
      </x:c>
      <x:c r="E32" s="29" t="n">
        <x:v>8</x:v>
      </x:c>
      <x:c r="F32" s="29" t="str">
        <x:v>set</x:v>
      </x:c>
      <x:c r="G32" s="28" t="n">
        <x:v>12</x:v>
      </x:c>
      <x:c r="H32" s="28" t="str">
        <x:v>Allowance</x:v>
      </x:c>
      <x:c r="I32" s="28" t="n">
        <x:f>E32*G32</x:f>
        <x:v>96</x:v>
      </x:c>
      <x:c r="J32" s="21" t="str">
        <x:v>Amazon unselected</x:v>
      </x:c>
      <x:c r="K32" s="21" t="str">
        <x:v>Select exact part</x:v>
      </x:c>
      <x:c r="L32" s="21"/>
      <x:c r="M32" s="30" t="str"/>
      <x:c r="N32" s="21" t="str">
        <x:v>Two per paired beam. Structural drawdown clamps, not light door latches. Exact clamp selection pending.</x:v>
      </x:c>
    </x:row>
    <x:row r="33" ht="60" customHeight="1">
      <x:c r="A33" s="21" t="str">
        <x:v>H10</x:v>
      </x:c>
      <x:c r="B33" s="21" t="str">
        <x:v>Common</x:v>
      </x:c>
      <x:c r="C33" s="21" t="str">
        <x:v>Router deck</x:v>
      </x:c>
      <x:c r="D33" s="21" t="str">
        <x:v>Folding/recessed panel handles</x:v>
      </x:c>
      <x:c r="E33" s="29" t="n">
        <x:v>12</x:v>
      </x:c>
      <x:c r="F33" s="29" t="str">
        <x:v>each</x:v>
      </x:c>
      <x:c r="G33" s="28" t="n">
        <x:v>5</x:v>
      </x:c>
      <x:c r="H33" s="28" t="str">
        <x:v>Allowance</x:v>
      </x:c>
      <x:c r="I33" s="28" t="n">
        <x:f>E33*G33</x:f>
        <x:v>60</x:v>
      </x:c>
      <x:c r="J33" s="21" t="str">
        <x:v>Amazon unselected</x:v>
      </x:c>
      <x:c r="K33" s="21" t="str">
        <x:v>Select exact part</x:v>
      </x:c>
      <x:c r="L33" s="21"/>
      <x:c r="M33" s="30" t="str"/>
      <x:c r="N33" s="21" t="str">
        <x:v>Two per panel. Verify rated load, attachment and folded storage clearance.</x:v>
      </x:c>
    </x:row>
    <x:row r="34" ht="60" customHeight="1">
      <x:c r="A34" s="21" t="str">
        <x:v>H11</x:v>
      </x:c>
      <x:c r="B34" s="21" t="str">
        <x:v>Common</x:v>
      </x:c>
      <x:c r="C34" s="21" t="str">
        <x:v>Router deck</x:v>
      </x:c>
      <x:c r="D34" s="21" t="str">
        <x:v>Deck assembly and MDF retention fasteners</x:v>
      </x:c>
      <x:c r="E34" s="29" t="n">
        <x:v>1</x:v>
      </x:c>
      <x:c r="F34" s="29" t="str">
        <x:v>lot</x:v>
      </x:c>
      <x:c r="G34" s="28" t="n">
        <x:v>40</x:v>
      </x:c>
      <x:c r="H34" s="28" t="str">
        <x:v>Allowance</x:v>
      </x:c>
      <x:c r="I34" s="28" t="n">
        <x:f>E34*G34</x:f>
        <x:v>40</x:v>
      </x:c>
      <x:c r="J34" s="21" t="str">
        <x:v>Amazon unselected</x:v>
      </x:c>
      <x:c r="K34" s="21" t="str">
        <x:v>Select exact part</x:v>
      </x:c>
      <x:c r="L34" s="21"/>
      <x:c r="M34" s="30" t="str"/>
      <x:c r="N34" s="21" t="str">
        <x:v>Allow 48 frame-to-Al and 36 recessed MDF screws, plus washers/inserts. Separate from 24 panel drawdowns.</x:v>
      </x:c>
    </x:row>
    <x:row r="35" ht="60" customHeight="1">
      <x:c r="A35" s="21" t="str">
        <x:v>H12</x:v>
      </x:c>
      <x:c r="B35" s="21" t="str">
        <x:v>Common</x:v>
      </x:c>
      <x:c r="C35" s="21" t="str">
        <x:v>Frame and finish</x:v>
      </x:c>
      <x:c r="D35" s="21" t="str">
        <x:v>Lift-off cover latches, hooks and parking studs</x:v>
      </x:c>
      <x:c r="E35" s="29" t="n">
        <x:v>1</x:v>
      </x:c>
      <x:c r="F35" s="29" t="str">
        <x:v>lot</x:v>
      </x:c>
      <x:c r="G35" s="28" t="n">
        <x:v>45</x:v>
      </x:c>
      <x:c r="H35" s="28" t="str">
        <x:v>Allowance</x:v>
      </x:c>
      <x:c r="I35" s="28" t="n">
        <x:f>E35*G35</x:f>
        <x:v>45</x:v>
      </x:c>
      <x:c r="J35" s="21" t="str">
        <x:v>Amazon unselected</x:v>
      </x:c>
      <x:c r="K35" s="21" t="str">
        <x:v>Select exact part</x:v>
      </x:c>
      <x:c r="L35" s="21"/>
      <x:c r="M35" s="30" t="str"/>
      <x:c r="N35" s="21" t="str">
        <x:v>Four captive latches, four lower hooks and four parking studs, nominal. Keep covers within existing footprint when parked.</x:v>
      </x:c>
    </x:row>
    <x:row r="36" ht="60" customHeight="1">
      <x:c r="A36" s="21" t="str">
        <x:v>H13</x:v>
      </x:c>
      <x:c r="B36" s="21" t="str">
        <x:v>Common</x:v>
      </x:c>
      <x:c r="C36" s="21" t="str">
        <x:v>Frame and finish</x:v>
      </x:c>
      <x:c r="D36" s="21" t="str">
        <x:v>Sand-port closures, datum covers and seals</x:v>
      </x:c>
      <x:c r="E36" s="29" t="n">
        <x:v>1</x:v>
      </x:c>
      <x:c r="F36" s="29" t="str">
        <x:v>lot</x:v>
      </x:c>
      <x:c r="G36" s="28" t="n">
        <x:v>45</x:v>
      </x:c>
      <x:c r="H36" s="28" t="str">
        <x:v>Allowance</x:v>
      </x:c>
      <x:c r="I36" s="28" t="n">
        <x:f>E36*G36</x:f>
        <x:v>45</x:v>
      </x:c>
      <x:c r="J36" s="21" t="str">
        <x:v>Amazon unselected</x:v>
      </x:c>
      <x:c r="K36" s="21" t="str">
        <x:v>Select exact part</x:v>
      </x:c>
      <x:c r="L36" s="21"/>
      <x:c r="M36" s="30" t="str"/>
      <x:c r="N36" s="21" t="str">
        <x:v>Final port count follows sealed cavity drawing. No sand in removable crossbeams, panel frames or moving gantry.</x:v>
      </x:c>
    </x:row>
    <x:row r="37" ht="60" customHeight="1">
      <x:c r="A37" s="21" t="str">
        <x:v>H14</x:v>
      </x:c>
      <x:c r="B37" s="21" t="str">
        <x:v>Common</x:v>
      </x:c>
      <x:c r="C37" s="21" t="str">
        <x:v>Motion</x:v>
      </x:c>
      <x:c r="D37" s="21" t="str">
        <x:v>Rail mounting hardware, T-nuts and shim pack</x:v>
      </x:c>
      <x:c r="E37" s="29" t="n">
        <x:v>1</x:v>
      </x:c>
      <x:c r="F37" s="29" t="str">
        <x:v>lot</x:v>
      </x:c>
      <x:c r="G37" s="28" t="n">
        <x:v>60</x:v>
      </x:c>
      <x:c r="H37" s="28" t="str">
        <x:v>Allowance</x:v>
      </x:c>
      <x:c r="I37" s="28" t="n">
        <x:f>E37*G37</x:f>
        <x:v>60</x:v>
      </x:c>
      <x:c r="J37" s="21" t="str">
        <x:v>Amazon unselected</x:v>
      </x:c>
      <x:c r="K37" s="21" t="str">
        <x:v>Select exact part</x:v>
      </x:c>
      <x:c r="L37" s="21"/>
      <x:c r="M37" s="30" t="str"/>
      <x:c r="N37" s="21" t="str">
        <x:v>Exact HMS mounting pattern and 80/20 slot fasteners to verify. Includes initial rail-plane adjustment materials.</x:v>
      </x:c>
    </x:row>
    <x:row r="38" ht="60" customHeight="1">
      <x:c r="A38" s="21" t="str">
        <x:v>E01</x:v>
      </x:c>
      <x:c r="B38" s="21" t="str">
        <x:v>Common</x:v>
      </x:c>
      <x:c r="C38" s="21" t="str">
        <x:v>Controls</x:v>
      </x:c>
      <x:c r="D38" s="21" t="str">
        <x:v>Kraken onboard TMC2160 channels, included in E07</x:v>
      </x:c>
      <x:c r="E38" s="29" t="n">
        <x:v>4</x:v>
      </x:c>
      <x:c r="F38" s="29" t="str">
        <x:v>channel</x:v>
      </x:c>
      <x:c r="G38" s="28" t="n">
        <x:v>0</x:v>
      </x:c>
      <x:c r="H38" s="28" t="str">
        <x:v>Included</x:v>
      </x:c>
      <x:c r="I38" s="28" t="n">
        <x:f>E38*G38</x:f>
        <x:v>0</x:v>
      </x:c>
      <x:c r="J38" s="21" t="str">
        <x:v>None</x:v>
      </x:c>
      <x:c r="K38" s="21" t="str">
        <x:v>No external drivers</x:v>
      </x:c>
      <x:c r="L38" s="21"/>
      <x:c r="M38" s="30" t="str">
        <x:v>https://global.bttwiki.com/Kraken.html</x:v>
      </x:c>
      <x:c r="N38" s="21" t="str">
        <x:v>Use S1-S4 for X/Y1/Y2/Z. Eight drivers included with Kraken; no separate DM556T purchase. Confirm actual motor current and cooling before setting current.</x:v>
      </x:c>
    </x:row>
    <x:row r="39" ht="60" customHeight="1">
      <x:c r="A39" s="21" t="str">
        <x:v>E02</x:v>
      </x:c>
      <x:c r="B39" s="21" t="str">
        <x:v>Common</x:v>
      </x:c>
      <x:c r="C39" s="21" t="str">
        <x:v>Controls</x:v>
      </x:c>
      <x:c r="D39" s="21" t="str">
        <x:v>MEAN WELL LRS-350-36 motor supply</x:v>
      </x:c>
      <x:c r="E39" s="29" t="n">
        <x:v>1</x:v>
      </x:c>
      <x:c r="F39" s="29" t="str">
        <x:v>each</x:v>
      </x:c>
      <x:c r="G39" s="28" t="n">
        <x:v>36.07</x:v>
      </x:c>
      <x:c r="H39" s="28" t="str">
        <x:v>Amazon offer</x:v>
      </x:c>
      <x:c r="I39" s="28" t="n">
        <x:f>E39*G39</x:f>
        <x:v>36.07</x:v>
      </x:c>
      <x:c r="J39" s="21" t="str">
        <x:v>Amazon checked</x:v>
      </x:c>
      <x:c r="K39" s="21" t="str">
        <x:v>Verify at checkout</x:v>
      </x:c>
      <x:c r="L39" s="21"/>
      <x:c r="M39" s="30" t="str">
        <x:v>https://www.amazon.com/dp/B071HSNP83</x:v>
      </x:c>
      <x:c r="N39" s="21" t="str">
        <x:v>36 V / 350 W candidate for Kraken HV motor input only, never DCIN. Board DCIN uses 24 V from E03. Final current, acceleration and regeneration margin need load test.</x:v>
      </x:c>
    </x:row>
    <x:row r="40" ht="60" customHeight="1">
      <x:c r="A40" s="21" t="str">
        <x:v>E03</x:v>
      </x:c>
      <x:c r="B40" s="21" t="str">
        <x:v>Common</x:v>
      </x:c>
      <x:c r="C40" s="21" t="str">
        <x:v>Controls</x:v>
      </x:c>
      <x:c r="D40" s="21" t="str">
        <x:v>MEAN WELL LRS-150-24 auxiliary supply</x:v>
      </x:c>
      <x:c r="E40" s="29" t="n">
        <x:v>1</x:v>
      </x:c>
      <x:c r="F40" s="29" t="str">
        <x:v>each</x:v>
      </x:c>
      <x:c r="G40" s="28" t="n">
        <x:v>23.5</x:v>
      </x:c>
      <x:c r="H40" s="28" t="str">
        <x:v>Amazon offer</x:v>
      </x:c>
      <x:c r="I40" s="28" t="n">
        <x:f>E40*G40</x:f>
        <x:v>23.5</x:v>
      </x:c>
      <x:c r="J40" s="21" t="str">
        <x:v>Amazon checked</x:v>
      </x:c>
      <x:c r="K40" s="21" t="str">
        <x:v>Verify at checkout</x:v>
      </x:c>
      <x:c r="L40" s="21"/>
      <x:c r="M40" s="30" t="str">
        <x:v>https://www.amazon.com/dp/B018RE4CWW</x:v>
      </x:c>
      <x:c r="N40" s="21" t="str">
        <x:v>24 V / 150 W candidate for sensors, interlocks and water controls. Pump start-current capacity must be checked if pump option chosen.</x:v>
      </x:c>
    </x:row>
    <x:row r="41" ht="60" customHeight="1">
      <x:c r="A41" s="21" t="str">
        <x:v>E04</x:v>
      </x:c>
      <x:c r="B41" s="21" t="str">
        <x:v>Common</x:v>
      </x:c>
      <x:c r="C41" s="21" t="str">
        <x:v>Controls</x:v>
      </x:c>
      <x:c r="D41" s="21" t="str">
        <x:v>Separate 5 V logic supply, no longer selected</x:v>
      </x:c>
      <x:c r="E41" s="29" t="n">
        <x:v>0</x:v>
      </x:c>
      <x:c r="F41" s="29" t="str">
        <x:v>each</x:v>
      </x:c>
      <x:c r="G41" s="28" t="n">
        <x:v>11.53</x:v>
      </x:c>
      <x:c r="H41" s="28" t="str">
        <x:v>Amazon offer</x:v>
      </x:c>
      <x:c r="I41" s="28" t="n">
        <x:f>E41*G41</x:f>
        <x:v>0</x:v>
      </x:c>
      <x:c r="J41" s="21" t="str">
        <x:v>None</x:v>
      </x:c>
      <x:c r="K41" s="21" t="str">
        <x:v>Not required in proposed route</x:v>
      </x:c>
      <x:c r="L41" s="21"/>
      <x:c r="M41" s="30" t="str">
        <x:v>https://www.amazon.com/dp/B019GUOV40</x:v>
      </x:c>
      <x:c r="N41" s="21" t="str">
        <x:v>Kraken has a regulated 5 V host-power output. Verify cable/power budget for CB1+Pi4B. Zero quantity and no freight; do not buy a second host supply by default.</x:v>
      </x:c>
    </x:row>
    <x:row r="42" ht="60" customHeight="1">
      <x:c r="A42" s="21" t="str">
        <x:v>E05</x:v>
      </x:c>
      <x:c r="B42" s="21" t="str">
        <x:v>Common</x:v>
      </x:c>
      <x:c r="C42" s="21" t="str">
        <x:v>Controls</x:v>
      </x:c>
      <x:c r="D42" s="21" t="str">
        <x:v>VEVOR steel electrical enclosure 20 x 16 x 8 in</x:v>
      </x:c>
      <x:c r="E42" s="29" t="n">
        <x:v>1</x:v>
      </x:c>
      <x:c r="F42" s="29" t="str">
        <x:v>each</x:v>
      </x:c>
      <x:c r="G42" s="28" t="n">
        <x:v>84.9</x:v>
      </x:c>
      <x:c r="H42" s="28" t="str">
        <x:v>Amazon offer</x:v>
      </x:c>
      <x:c r="I42" s="28" t="n">
        <x:f>E42*G42</x:f>
        <x:v>84.9</x:v>
      </x:c>
      <x:c r="J42" s="21" t="str">
        <x:v>Amazon checked</x:v>
      </x:c>
      <x:c r="K42" s="21" t="str">
        <x:v>Verify at checkout</x:v>
      </x:c>
      <x:c r="L42" s="21"/>
      <x:c r="M42" s="30" t="str">
        <x:v>https://www.amazon.com/dp/B0924BN1P5</x:v>
      </x:c>
      <x:c r="N42" s="21" t="str">
        <x:v>One unit shown available. Verify backplate, gland entries and actual usable space. Keep VFD wiring segregated; may require separate VFD enclosure.</x:v>
      </x:c>
    </x:row>
    <x:row r="43" ht="60" customHeight="1">
      <x:c r="A43" s="21" t="str">
        <x:v>E06</x:v>
      </x:c>
      <x:c r="B43" s="21" t="str">
        <x:v>Common</x:v>
      </x:c>
      <x:c r="C43" s="21" t="str">
        <x:v>Controls</x:v>
      </x:c>
      <x:c r="D43" s="21" t="str">
        <x:v>Enclosed cable chain 25 x 50 mm, R55, 1 metre</x:v>
      </x:c>
      <x:c r="E43" s="29" t="n">
        <x:v>2</x:v>
      </x:c>
      <x:c r="F43" s="29" t="str">
        <x:v>each</x:v>
      </x:c>
      <x:c r="G43" s="28" t="n">
        <x:v>29.99</x:v>
      </x:c>
      <x:c r="H43" s="28" t="str">
        <x:v>Amazon offer</x:v>
      </x:c>
      <x:c r="I43" s="28" t="n">
        <x:f>E43*G43</x:f>
        <x:v>59.98</x:v>
      </x:c>
      <x:c r="J43" s="21" t="str">
        <x:v>Amazon checked</x:v>
      </x:c>
      <x:c r="K43" s="21" t="str">
        <x:v>Verify at checkout</x:v>
      </x:c>
      <x:c r="L43" s="21"/>
      <x:c r="M43" s="30" t="str">
        <x:v>https://www.amazon.com/dp/B0DSPK5X4V</x:v>
      </x:c>
      <x:c r="N43" s="21" t="str">
        <x:v>Candidate X/Y carriers. Confirm cable fill, bend radius and travel-end geometry; add metal spark shields separately.</x:v>
      </x:c>
    </x:row>
    <x:row r="44" ht="60" customHeight="1">
      <x:c r="A44" s="21" t="str">
        <x:v>E07</x:v>
      </x:c>
      <x:c r="B44" s="21" t="str">
        <x:v>Common</x:v>
      </x:c>
      <x:c r="C44" s="21" t="str">
        <x:v>Controls</x:v>
      </x:c>
      <x:c r="D44" s="21" t="str">
        <x:v>BIGTREETECH Kraken V1.1 with 8 integrated drivers</x:v>
      </x:c>
      <x:c r="E44" s="29" t="n">
        <x:v>1</x:v>
      </x:c>
      <x:c r="F44" s="29" t="str">
        <x:v>each</x:v>
      </x:c>
      <x:c r="G44" s="28" t="n">
        <x:v>129.99</x:v>
      </x:c>
      <x:c r="H44" s="28" t="str">
        <x:v>Posted price</x:v>
      </x:c>
      <x:c r="I44" s="28" t="n">
        <x:f>E44*G44</x:f>
        <x:v>129.99</x:v>
      </x:c>
      <x:c r="J44" s="21" t="str">
        <x:v>BIQU</x:v>
      </x:c>
      <x:c r="K44" s="21" t="str">
        <x:v>Preferred hardware; firmware open</x:v>
      </x:c>
      <x:c r="L44" s="21"/>
      <x:c r="M44" s="30" t="str">
        <x:v>https://biqu.equipment/products/kraken-for-voron-phoenix</x:v>
      </x:c>
      <x:c r="N44" s="21" t="str">
        <x:v>Official price; Amazon V1.1 ASIN B0F7RQY6Z4 unavailable. S1-S4 max 4.7 A for V1.1, not the V1.0 8 A claim. HV24-60 V and DCIN12/24 V are separate. Does not accept CB1 directly.</x:v>
      </x:c>
    </x:row>
    <x:row r="45" ht="60" customHeight="1">
      <x:c r="A45" s="21" t="str">
        <x:v>E08</x:v>
      </x:c>
      <x:c r="B45" s="21" t="str">
        <x:v>Common</x:v>
      </x:c>
      <x:c r="C45" s="21" t="str">
        <x:v>Controls</x:v>
      </x:c>
      <x:c r="D45" s="21" t="str">
        <x:v>Plasma height-control interface, unresolved provision</x:v>
      </x:c>
      <x:c r="E45" s="29" t="n">
        <x:v>1</x:v>
      </x:c>
      <x:c r="F45" s="29" t="str">
        <x:v>set</x:v>
      </x:c>
      <x:c r="G45" s="28" t="n">
        <x:v>79</x:v>
      </x:c>
      <x:c r="H45" s="28" t="str">
        <x:v>Allowance</x:v>
      </x:c>
      <x:c r="I45" s="28" t="n">
        <x:f>E45*G45</x:f>
        <x:v>79</x:v>
      </x:c>
      <x:c r="J45" s="21" t="str">
        <x:v>Amazon unselected</x:v>
      </x:c>
      <x:c r="K45" s="21" t="str">
        <x:v>Select exact part</x:v>
      </x:c>
      <x:c r="L45" s="21"/>
      <x:c r="M45" s="30" t="str"/>
      <x:c r="N45" s="21" t="str">
        <x:v>Inherited interface budget only, not a selected THC solution. THCAD2 is no longer assumed compatible. Firmware, isolated arc feedback and actual cutter remain unresolved; required development is unpriced.</x:v>
      </x:c>
    </x:row>
    <x:row r="46" ht="60" customHeight="1">
      <x:c r="A46" s="21" t="str">
        <x:v>E09</x:v>
      </x:c>
      <x:c r="B46" s="21" t="str">
        <x:v>Common</x:v>
      </x:c>
      <x:c r="C46" s="21" t="str">
        <x:v>Controls</x:v>
      </x:c>
      <x:c r="D46" s="21" t="str">
        <x:v>Additional isolated I/O, unresolved provision</x:v>
      </x:c>
      <x:c r="E46" s="29" t="n">
        <x:v>1</x:v>
      </x:c>
      <x:c r="F46" s="29" t="str">
        <x:v>set</x:v>
      </x:c>
      <x:c r="G46" s="28" t="n">
        <x:v>79</x:v>
      </x:c>
      <x:c r="H46" s="28" t="str">
        <x:v>Allowance</x:v>
      </x:c>
      <x:c r="I46" s="28" t="n">
        <x:f>E46*G46</x:f>
        <x:v>79</x:v>
      </x:c>
      <x:c r="J46" s="21" t="str">
        <x:v>Amazon unselected</x:v>
      </x:c>
      <x:c r="K46" s="21" t="str">
        <x:v>Select exact part</x:v>
      </x:c>
      <x:c r="L46" s="21"/>
      <x:c r="M46" s="30" t="str"/>
      <x:c r="N46" s="21" t="str">
        <x:v>Replaces the Mesa 7I84U selection. Input count, isolation and firmware support must be designed for Kraken or Manta; board GPIO is not automatically 24 V tolerant.</x:v>
      </x:c>
    </x:row>
    <x:row r="47" ht="60" customHeight="1">
      <x:c r="A47" s="21" t="str">
        <x:v>E10</x:v>
      </x:c>
      <x:c r="B47" s="21" t="str">
        <x:v>Common</x:v>
      </x:c>
      <x:c r="C47" s="21" t="str">
        <x:v>Controls</x:v>
      </x:c>
      <x:c r="D47" s="21" t="str">
        <x:v>Axis home/limit sensors with brackets</x:v>
      </x:c>
      <x:c r="E47" s="29" t="n">
        <x:v>6</x:v>
      </x:c>
      <x:c r="F47" s="29" t="str">
        <x:v>each</x:v>
      </x:c>
      <x:c r="G47" s="28" t="n">
        <x:v>8</x:v>
      </x:c>
      <x:c r="H47" s="28" t="str">
        <x:v>Allowance</x:v>
      </x:c>
      <x:c r="I47" s="28" t="n">
        <x:f>E47*G47</x:f>
        <x:v>48</x:v>
      </x:c>
      <x:c r="J47" s="21" t="str">
        <x:v>Amazon unselected</x:v>
      </x:c>
      <x:c r="K47" s="21" t="str">
        <x:v>Select exact part</x:v>
      </x:c>
      <x:c r="L47" s="21"/>
      <x:c r="M47" s="30" t="str"/>
      <x:c r="N47" s="21" t="str">
        <x:v>Four independent homes including Y1/Y2; two spare/end-limit candidates. Final circuit and combined limit scheme pending.</x:v>
      </x:c>
    </x:row>
    <x:row r="48" ht="60" customHeight="1">
      <x:c r="A48" s="21" t="str">
        <x:v>E11</x:v>
      </x:c>
      <x:c r="B48" s="21" t="str">
        <x:v>Common</x:v>
      </x:c>
      <x:c r="C48" s="21" t="str">
        <x:v>Controls</x:v>
      </x:c>
      <x:c r="D48" s="21" t="str">
        <x:v>Docking/head identification sensors and targets</x:v>
      </x:c>
      <x:c r="E48" s="29" t="n">
        <x:v>16</x:v>
      </x:c>
      <x:c r="F48" s="29" t="str">
        <x:v>each</x:v>
      </x:c>
      <x:c r="G48" s="28" t="n">
        <x:v>6</x:v>
      </x:c>
      <x:c r="H48" s="28" t="str">
        <x:v>Allowance</x:v>
      </x:c>
      <x:c r="I48" s="28" t="n">
        <x:f>E48*G48</x:f>
        <x:v>96</x:v>
      </x:c>
      <x:c r="J48" s="21" t="str">
        <x:v>Amazon unselected</x:v>
      </x:c>
      <x:c r="K48" s="21" t="str">
        <x:v>Select exact part</x:v>
      </x:c>
      <x:c r="L48" s="21"/>
      <x:c r="M48" s="30" t="str"/>
      <x:c r="N48" s="21" t="str">
        <x:v>Budget: 8 beam-clamp channels, 6 deck-presence channels, 2 head-ID channels. Engagement sensing does not prove clamp preload.</x:v>
      </x:c>
    </x:row>
    <x:row r="49" ht="60" customHeight="1">
      <x:c r="A49" s="21" t="str">
        <x:v>E12</x:v>
      </x:c>
      <x:c r="B49" s="21" t="str">
        <x:v>Common</x:v>
      </x:c>
      <x:c r="C49" s="21" t="str">
        <x:v>Controls</x:v>
      </x:c>
      <x:c r="D49" s="21" t="str">
        <x:v>E-stop, reset and mode-control station</x:v>
      </x:c>
      <x:c r="E49" s="29" t="n">
        <x:v>1</x:v>
      </x:c>
      <x:c r="F49" s="29" t="str">
        <x:v>set</x:v>
      </x:c>
      <x:c r="G49" s="28" t="n">
        <x:v>40</x:v>
      </x:c>
      <x:c r="H49" s="28" t="str">
        <x:v>Allowance</x:v>
      </x:c>
      <x:c r="I49" s="28" t="n">
        <x:f>E49*G49</x:f>
        <x:v>40</x:v>
      </x:c>
      <x:c r="J49" s="21" t="str">
        <x:v>Amazon unselected</x:v>
      </x:c>
      <x:c r="K49" s="21" t="str">
        <x:v>Select exact part</x:v>
      </x:c>
      <x:c r="L49" s="21"/>
      <x:c r="M49" s="30" t="str"/>
      <x:c r="N49" s="21" t="str">
        <x:v>Latching NC E-stop, deliberate reset and mode selector. Exact hardware and wiring pending.</x:v>
      </x:c>
    </x:row>
    <x:row r="50" ht="60" customHeight="1">
      <x:c r="A50" s="21" t="str">
        <x:v>E13</x:v>
      </x:c>
      <x:c r="B50" s="21" t="str">
        <x:v>Common</x:v>
      </x:c>
      <x:c r="C50" s="21" t="str">
        <x:v>Controls</x:v>
      </x:c>
      <x:c r="D50" s="21" t="str">
        <x:v>Contactors, interlock relay and branch protection</x:v>
      </x:c>
      <x:c r="E50" s="29" t="n">
        <x:v>1</x:v>
      </x:c>
      <x:c r="F50" s="29" t="str">
        <x:v>lot</x:v>
      </x:c>
      <x:c r="G50" s="28" t="n">
        <x:v>160</x:v>
      </x:c>
      <x:c r="H50" s="28" t="str">
        <x:v>Allowance</x:v>
      </x:c>
      <x:c r="I50" s="28" t="n">
        <x:f>E50*G50</x:f>
        <x:v>160</x:v>
      </x:c>
      <x:c r="J50" s="21" t="str">
        <x:v>Amazon unselected</x:v>
      </x:c>
      <x:c r="K50" s="21" t="str">
        <x:v>Select exact part</x:v>
      </x:c>
      <x:c r="L50" s="21"/>
      <x:c r="M50" s="30" t="str"/>
      <x:c r="N50" s="21" t="str">
        <x:v>Supply isolation, fuses, EMC filter and machine interlock relay only. Dedicated water output/HH/LL relays are in W06. Final electrical design required.</x:v>
      </x:c>
    </x:row>
    <x:row r="51" ht="60" customHeight="1">
      <x:c r="A51" s="21" t="str">
        <x:v>E14</x:v>
      </x:c>
      <x:c r="B51" s="21" t="str">
        <x:v>Common</x:v>
      </x:c>
      <x:c r="C51" s="21" t="str">
        <x:v>Controls</x:v>
      </x:c>
      <x:c r="D51" s="21" t="str">
        <x:v>Shielded motor/IO cable, grounding and connectors</x:v>
      </x:c>
      <x:c r="E51" s="29" t="n">
        <x:v>1</x:v>
      </x:c>
      <x:c r="F51" s="29" t="str">
        <x:v>lot</x:v>
      </x:c>
      <x:c r="G51" s="28" t="n">
        <x:v>150</x:v>
      </x:c>
      <x:c r="H51" s="28" t="str">
        <x:v>Allowance</x:v>
      </x:c>
      <x:c r="I51" s="28" t="n">
        <x:f>E51*G51</x:f>
        <x:v>150</x:v>
      </x:c>
      <x:c r="J51" s="21" t="str">
        <x:v>Amazon unselected</x:v>
      </x:c>
      <x:c r="K51" s="21" t="str">
        <x:v>Select exact part</x:v>
      </x:c>
      <x:c r="L51" s="21"/>
      <x:c r="M51" s="30" t="str"/>
      <x:c r="N51" s="21" t="str">
        <x:v>Provisional lengths: about 25–30 m motor cable, 25–30 m signal cable. VFD cable already in spindle kit. Final wire gauges/routes determine purchase.</x:v>
      </x:c>
    </x:row>
    <x:row r="52" ht="60" customHeight="1">
      <x:c r="A52" s="21" t="str">
        <x:v>E15</x:v>
      </x:c>
      <x:c r="B52" s="21" t="str">
        <x:v>Common</x:v>
      </x:c>
      <x:c r="C52" s="21" t="str">
        <x:v>Controls</x:v>
      </x:c>
      <x:c r="D52" s="21" t="str">
        <x:v>DIN rail, terminals, glands and ferrules</x:v>
      </x:c>
      <x:c r="E52" s="29" t="n">
        <x:v>1</x:v>
      </x:c>
      <x:c r="F52" s="29" t="str">
        <x:v>lot</x:v>
      </x:c>
      <x:c r="G52" s="28" t="n">
        <x:v>65</x:v>
      </x:c>
      <x:c r="H52" s="28" t="str">
        <x:v>Allowance</x:v>
      </x:c>
      <x:c r="I52" s="28" t="n">
        <x:f>E52*G52</x:f>
        <x:v>65</x:v>
      </x:c>
      <x:c r="J52" s="21" t="str">
        <x:v>Amazon unselected</x:v>
      </x:c>
      <x:c r="K52" s="21" t="str">
        <x:v>Select exact part</x:v>
      </x:c>
      <x:c r="L52" s="21"/>
      <x:c r="M52" s="30" t="str"/>
      <x:c r="N52" s="21" t="str">
        <x:v>Allowance for complete cabinet termination and service labeling.</x:v>
      </x:c>
    </x:row>
    <x:row r="53" ht="60" customHeight="1">
      <x:c r="A53" s="21" t="str">
        <x:v>E16</x:v>
      </x:c>
      <x:c r="B53" s="21" t="str">
        <x:v>Common</x:v>
      </x:c>
      <x:c r="C53" s="21" t="str">
        <x:v>Controls</x:v>
      </x:c>
      <x:c r="D53" s="21" t="str">
        <x:v>Cabinet cooling and segregated VFD housing</x:v>
      </x:c>
      <x:c r="E53" s="29" t="n">
        <x:v>1</x:v>
      </x:c>
      <x:c r="F53" s="29" t="str">
        <x:v>lot</x:v>
      </x:c>
      <x:c r="G53" s="28" t="n">
        <x:v>75</x:v>
      </x:c>
      <x:c r="H53" s="28" t="str">
        <x:v>Allowance</x:v>
      </x:c>
      <x:c r="I53" s="28" t="n">
        <x:f>E53*G53</x:f>
        <x:v>75</x:v>
      </x:c>
      <x:c r="J53" s="21" t="str">
        <x:v>Amazon unselected</x:v>
      </x:c>
      <x:c r="K53" s="21" t="str">
        <x:v>Select exact part</x:v>
      </x:c>
      <x:c r="L53" s="21"/>
      <x:c r="M53" s="30" t="str"/>
      <x:c r="N53" s="21" t="str">
        <x:v>Filter fan/vents and separate VFD mounting allowance. Final thermal and space check pending.</x:v>
      </x:c>
    </x:row>
    <x:row r="54" ht="60" customHeight="1">
      <x:c r="A54" s="21" t="str">
        <x:v>E17</x:v>
      </x:c>
      <x:c r="B54" s="21" t="str">
        <x:v>Common</x:v>
      </x:c>
      <x:c r="C54" s="21" t="str">
        <x:v>Controls</x:v>
      </x:c>
      <x:c r="D54" s="21" t="str">
        <x:v>Host USB/Ethernet cables and strain reliefs</x:v>
      </x:c>
      <x:c r="E54" s="29" t="n">
        <x:v>1</x:v>
      </x:c>
      <x:c r="F54" s="29" t="str">
        <x:v>lot</x:v>
      </x:c>
      <x:c r="G54" s="28" t="n">
        <x:v>18</x:v>
      </x:c>
      <x:c r="H54" s="28" t="str">
        <x:v>Allowance</x:v>
      </x:c>
      <x:c r="I54" s="28" t="n">
        <x:f>E54*G54</x:f>
        <x:v>18</x:v>
      </x:c>
      <x:c r="J54" s="21" t="str">
        <x:v>Amazon unselected</x:v>
      </x:c>
      <x:c r="K54" s="21" t="str">
        <x:v>Select exact part</x:v>
      </x:c>
      <x:c r="L54" s="21"/>
      <x:c r="M54" s="30" t="str"/>
      <x:c r="N54" s="21" t="str">
        <x:v>CB1/Pi4B to Kraken USB data link, host network cable and restraints. Kraken Ethernet motion control is not assumed.</x:v>
      </x:c>
    </x:row>
    <x:row r="55" ht="60" customHeight="1">
      <x:c r="A55" s="21" t="str">
        <x:v>E18</x:v>
      </x:c>
      <x:c r="B55" s="21" t="str">
        <x:v>Common</x:v>
      </x:c>
      <x:c r="C55" s="21" t="str">
        <x:v>Controls</x:v>
      </x:c>
      <x:c r="D55" s="21" t="str">
        <x:v>CNC firmware and live plasma THC integration</x:v>
      </x:c>
      <x:c r="E55" s="29" t="n">
        <x:v>1</x:v>
      </x:c>
      <x:c r="F55" s="29" t="str">
        <x:v>project</x:v>
      </x:c>
      <x:c r="G55" s="28" t="n">
        <x:v>0</x:v>
      </x:c>
      <x:c r="H55" s="28" t="str">
        <x:v>Unpriced</x:v>
      </x:c>
      <x:c r="I55" s="28" t="n">
        <x:f>E55*G55</x:f>
        <x:v>0</x:v>
      </x:c>
      <x:c r="J55" s="21" t="str">
        <x:v>None</x:v>
      </x:c>
      <x:c r="K55" s="21" t="str">
        <x:v>Development not priced</x:v>
      </x:c>
      <x:c r="L55" s="21"/>
      <x:c r="M55" s="30" t="str">
        <x:v>https://global.bttwiki.com/Kraken.html</x:v>
      </x:c>
      <x:c r="N55" s="21" t="str">
        <x:v>Stock Klipper/Marlin support is established; ready plasma THC is not. No verified Kraken grblHAL map. Zero records no software license purchase, not zero development cost or completed integration.</x:v>
      </x:c>
    </x:row>
    <x:row r="56" ht="60" customHeight="1">
      <x:c r="A56" s="21" t="str">
        <x:v>E19</x:v>
      </x:c>
      <x:c r="B56" s="21" t="str">
        <x:v>Common</x:v>
      </x:c>
      <x:c r="C56" s="21" t="str">
        <x:v>Controls</x:v>
      </x:c>
      <x:c r="D56" s="21" t="str">
        <x:v>BIGTREETECH CB1 V2.2 host module</x:v>
      </x:c>
      <x:c r="E56" s="29" t="n">
        <x:v>1</x:v>
      </x:c>
      <x:c r="F56" s="29" t="str">
        <x:v>each</x:v>
      </x:c>
      <x:c r="G56" s="28" t="n">
        <x:v>32.99</x:v>
      </x:c>
      <x:c r="H56" s="28" t="str">
        <x:v>User screenshot</x:v>
      </x:c>
      <x:c r="I56" s="28" t="n">
        <x:f>E56*G56</x:f>
        <x:v>32.99</x:v>
      </x:c>
      <x:c r="J56" s="21" t="str">
        <x:v>Amazon screenshot</x:v>
      </x:c>
      <x:c r="K56" s="21" t="str">
        <x:v>Cart price; checkout pending</x:v>
      </x:c>
      <x:c r="L56" s="21"/>
      <x:c r="M56" s="30" t="str">
        <x:v>https://github.com/bigtreetech/CB1</x:v>
      </x:c>
      <x:c r="N56" s="21" t="str">
        <x:v>User screenshot price $32.99 and Prime free-delivery badge. Exact ASIN and delivery ZIP are not visible. Kraken needs the separate Pi4B carrier E20; Manta accepts CB1 directly.</x:v>
      </x:c>
    </x:row>
    <x:row r="57" ht="60" customHeight="1">
      <x:c r="A57" s="21" t="str">
        <x:v>E20</x:v>
      </x:c>
      <x:c r="B57" s="21" t="str">
        <x:v>Common</x:v>
      </x:c>
      <x:c r="C57" s="21" t="str">
        <x:v>Controls</x:v>
      </x:c>
      <x:c r="D57" s="21" t="str">
        <x:v>BIGTREETECH Pi4B V1.0 carrier only</x:v>
      </x:c>
      <x:c r="E57" s="29" t="n">
        <x:v>1</x:v>
      </x:c>
      <x:c r="F57" s="29" t="str">
        <x:v>each</x:v>
      </x:c>
      <x:c r="G57" s="28" t="n">
        <x:v>28.98</x:v>
      </x:c>
      <x:c r="H57" s="28" t="str">
        <x:v>Posted price</x:v>
      </x:c>
      <x:c r="I57" s="28" t="n">
        <x:f>E57*G57</x:f>
        <x:v>28.98</x:v>
      </x:c>
      <x:c r="J57" s="21" t="str">
        <x:v>BIQU</x:v>
      </x:c>
      <x:c r="K57" s="21" t="str">
        <x:v>Kraken host carrier</x:v>
      </x:c>
      <x:c r="L57" s="21"/>
      <x:c r="M57" s="30" t="str">
        <x:v>https://biqu.equipment/products/pi4b-adapter-v1-0?variant=39919128969314</x:v>
      </x:c>
      <x:c r="N57" s="21" t="str">
        <x:v>Carrier-only price; CB1 is already in E19. Connect the host to Kraken by USB. Omit carrier if Manta alternative is selected.</x:v>
      </x:c>
    </x:row>
    <x:row r="58" ht="60" customHeight="1">
      <x:c r="A58" s="21" t="str">
        <x:v>E21</x:v>
      </x:c>
      <x:c r="B58" s="21" t="str">
        <x:v>Common</x:v>
      </x:c>
      <x:c r="C58" s="21" t="str">
        <x:v>Controls</x:v>
      </x:c>
      <x:c r="D58" s="21" t="str">
        <x:v>Host microSD media, heatsink and fan</x:v>
      </x:c>
      <x:c r="E58" s="29" t="n">
        <x:v>1</x:v>
      </x:c>
      <x:c r="F58" s="29" t="str">
        <x:v>set</x:v>
      </x:c>
      <x:c r="G58" s="28" t="n">
        <x:v>25</x:v>
      </x:c>
      <x:c r="H58" s="28" t="str">
        <x:v>Allowance</x:v>
      </x:c>
      <x:c r="I58" s="28" t="n">
        <x:f>E58*G58</x:f>
        <x:v>25</x:v>
      </x:c>
      <x:c r="J58" s="21" t="str">
        <x:v>Amazon unselected</x:v>
      </x:c>
      <x:c r="K58" s="21" t="str">
        <x:v>Select exact part</x:v>
      </x:c>
      <x:c r="L58" s="21"/>
      <x:c r="M58" s="30" t="str"/>
      <x:c r="N58" s="21" t="str">
        <x:v>CB1 storage, firmware microSD and host cooling allowance. No display included; reuse a network browser device for a Klipper UI.</x:v>
      </x:c>
    </x:row>
    <x:row r="59" ht="60" customHeight="1">
      <x:c r="A59" s="21" t="str">
        <x:v>E22</x:v>
      </x:c>
      <x:c r="B59" s="21" t="str">
        <x:v>Common</x:v>
      </x:c>
      <x:c r="C59" s="21" t="str">
        <x:v>Controls</x:v>
      </x:c>
      <x:c r="D59" s="21" t="str">
        <x:v>Isolated VFD speed and run interface</x:v>
      </x:c>
      <x:c r="E59" s="29" t="n">
        <x:v>1</x:v>
      </x:c>
      <x:c r="F59" s="29" t="str">
        <x:v>set</x:v>
      </x:c>
      <x:c r="G59" s="28" t="n">
        <x:v>35</x:v>
      </x:c>
      <x:c r="H59" s="28" t="str">
        <x:v>Allowance</x:v>
      </x:c>
      <x:c r="I59" s="28" t="n">
        <x:f>E59*G59</x:f>
        <x:v>35</x:v>
      </x:c>
      <x:c r="J59" s="21" t="str">
        <x:v>Amazon unselected</x:v>
      </x:c>
      <x:c r="K59" s="21" t="str">
        <x:v>Select exact part</x:v>
      </x:c>
      <x:c r="L59" s="21"/>
      <x:c r="M59" s="30" t="str"/>
      <x:c r="N59" s="21" t="str">
        <x:v>Replaces the analog spindle output previously provided by Mesa. Match VFD PWM-to-0-10 V or documented serial interface and run contact. Exact module and firmware remain to be selected.</x:v>
      </x:c>
    </x:row>
    <x:row r="60" ht="60" customHeight="1">
      <x:c r="A60" s="21" t="str">
        <x:v>R01</x:v>
      </x:c>
      <x:c r="B60" s="21" t="str">
        <x:v>Common</x:v>
      </x:c>
      <x:c r="C60" s="21" t="str">
        <x:v>Router head</x:v>
      </x:c>
      <x:c r="D60" s="21" t="str">
        <x:v>Zhong Hua Jiang 110 V / 1.5 kW spindle kit, ER11</x:v>
      </x:c>
      <x:c r="E60" s="29" t="n">
        <x:v>1</x:v>
      </x:c>
      <x:c r="F60" s="29" t="str">
        <x:v>each</x:v>
      </x:c>
      <x:c r="G60" s="28" t="n">
        <x:v>309.99</x:v>
      </x:c>
      <x:c r="H60" s="28" t="str">
        <x:v>Amazon offer</x:v>
      </x:c>
      <x:c r="I60" s="28" t="n">
        <x:f>E60*G60</x:f>
        <x:v>309.99</x:v>
      </x:c>
      <x:c r="J60" s="21" t="str">
        <x:v>Amazon checked</x:v>
      </x:c>
      <x:c r="K60" s="21" t="str">
        <x:v>Verify at checkout</x:v>
      </x:c>
      <x:c r="L60" s="21"/>
      <x:c r="M60" s="30" t="str">
        <x:v>https://www.amazon.com/dp/B0BF5R3LNC</x:v>
      </x:c>
      <x:c r="N60" s="21" t="str">
        <x:v>Latest user ASIN controls: ER11, 65 mm, 2.7 kg. Includes VFD, clamp, wires, wrenches and 1/4, 1/8, 1/16-inch collets. No second VFD/clamp charge.</x:v>
      </x:c>
    </x:row>
    <x:row r="61" ht="60" customHeight="1">
      <x:c r="A61" s="21" t="str">
        <x:v>R02</x:v>
      </x:c>
      <x:c r="B61" s="21" t="str">
        <x:v>Common</x:v>
      </x:c>
      <x:c r="C61" s="21" t="str">
        <x:v>Router head</x:v>
      </x:c>
      <x:c r="D61" s="21" t="str">
        <x:v>Dust shoe and extraction hose</x:v>
      </x:c>
      <x:c r="E61" s="29" t="n">
        <x:v>1</x:v>
      </x:c>
      <x:c r="F61" s="29" t="str">
        <x:v>set</x:v>
      </x:c>
      <x:c r="G61" s="28" t="n">
        <x:v>65</x:v>
      </x:c>
      <x:c r="H61" s="28" t="str">
        <x:v>Allowance</x:v>
      </x:c>
      <x:c r="I61" s="28" t="n">
        <x:f>E61*G61</x:f>
        <x:v>65</x:v>
      </x:c>
      <x:c r="J61" s="21" t="str">
        <x:v>Amazon unselected</x:v>
      </x:c>
      <x:c r="K61" s="21" t="str">
        <x:v>Select exact part</x:v>
      </x:c>
      <x:c r="L61" s="21"/>
      <x:c r="M61" s="30" t="str"/>
      <x:c r="N61" s="21" t="str">
        <x:v>Choose for the actual 65 mm spindle/tool length. Shop dust extractor is a separate prerequisite if unavailable; see X04.</x:v>
      </x:c>
    </x:row>
    <x:row r="62" ht="60" customHeight="1">
      <x:c r="A62" s="21" t="str">
        <x:v>R03</x:v>
      </x:c>
      <x:c r="B62" s="21" t="str">
        <x:v>Common</x:v>
      </x:c>
      <x:c r="C62" s="21" t="str">
        <x:v>Router head</x:v>
      </x:c>
      <x:c r="D62" s="21" t="str">
        <x:v>Starter cutters, surfacing tool and workholding</x:v>
      </x:c>
      <x:c r="E62" s="29" t="n">
        <x:v>1</x:v>
      </x:c>
      <x:c r="F62" s="29" t="str">
        <x:v>lot</x:v>
      </x:c>
      <x:c r="G62" s="28" t="n">
        <x:v>90</x:v>
      </x:c>
      <x:c r="H62" s="28" t="str">
        <x:v>Allowance</x:v>
      </x:c>
      <x:c r="I62" s="28" t="n">
        <x:f>E62*G62</x:f>
        <x:v>90</x:v>
      </x:c>
      <x:c r="J62" s="21" t="str">
        <x:v>Amazon unselected</x:v>
      </x:c>
      <x:c r="K62" s="21" t="str">
        <x:v>Select exact part</x:v>
      </x:c>
      <x:c r="L62" s="21"/>
      <x:c r="M62" s="30" t="str"/>
      <x:c r="N62" s="21" t="str">
        <x:v>ER11 shank compatibility, low-profile clamps and screw-down fixtures. No 1/2-inch-shank bits.</x:v>
      </x:c>
    </x:row>
    <x:row r="63" ht="60" customHeight="1">
      <x:c r="A63" s="21" t="str">
        <x:v>R04</x:v>
      </x:c>
      <x:c r="B63" s="21" t="str">
        <x:v>Common</x:v>
      </x:c>
      <x:c r="C63" s="21" t="str">
        <x:v>Router head</x:v>
      </x:c>
      <x:c r="D63" s="21" t="str">
        <x:v>Touch plate / tool-height probe</x:v>
      </x:c>
      <x:c r="E63" s="29" t="n">
        <x:v>1</x:v>
      </x:c>
      <x:c r="F63" s="29" t="str">
        <x:v>each</x:v>
      </x:c>
      <x:c r="G63" s="28" t="n">
        <x:v>25</x:v>
      </x:c>
      <x:c r="H63" s="28" t="str">
        <x:v>Allowance</x:v>
      </x:c>
      <x:c r="I63" s="28" t="n">
        <x:f>E63*G63</x:f>
        <x:v>25</x:v>
      </x:c>
      <x:c r="J63" s="21" t="str">
        <x:v>Amazon unselected</x:v>
      </x:c>
      <x:c r="K63" s="21" t="str">
        <x:v>Select exact part</x:v>
      </x:c>
      <x:c r="L63" s="21"/>
      <x:c r="M63" s="30" t="str"/>
      <x:c r="N63" s="21" t="str">
        <x:v>Verify isolated input and controller configuration.</x:v>
      </x:c>
    </x:row>
    <x:row r="64" ht="60" customHeight="1">
      <x:c r="A64" s="21" t="str">
        <x:v>R05</x:v>
      </x:c>
      <x:c r="B64" s="21" t="str">
        <x:v>Common</x:v>
      </x:c>
      <x:c r="C64" s="21" t="str">
        <x:v>Router head</x:v>
      </x:c>
      <x:c r="D64" s="21" t="str">
        <x:v>Z anti-drop support/brake provision</x:v>
      </x:c>
      <x:c r="E64" s="29" t="n">
        <x:v>1</x:v>
      </x:c>
      <x:c r="F64" s="29" t="str">
        <x:v>set</x:v>
      </x:c>
      <x:c r="G64" s="28" t="n">
        <x:v>70</x:v>
      </x:c>
      <x:c r="H64" s="28" t="str">
        <x:v>Allowance</x:v>
      </x:c>
      <x:c r="I64" s="28" t="n">
        <x:f>E64*G64</x:f>
        <x:v>70</x:v>
      </x:c>
      <x:c r="J64" s="21" t="str">
        <x:v>Amazon unselected</x:v>
      </x:c>
      <x:c r="K64" s="21" t="str">
        <x:v>Select exact part</x:v>
      </x:c>
      <x:c r="L64" s="21"/>
      <x:c r="M64" s="30" t="str"/>
      <x:c r="N64" s="21" t="str">
        <x:v>Ball screw can backdrive. Exact counterbalance/brake depends on head mass and mounting clearance.</x:v>
      </x:c>
    </x:row>
    <x:row r="65" ht="60" customHeight="1">
      <x:c r="A65" s="21" t="str">
        <x:v>P01</x:v>
      </x:c>
      <x:c r="B65" s="21" t="str">
        <x:v>Common</x:v>
      </x:c>
      <x:c r="C65" s="21" t="str">
        <x:v>Plasma interface</x:v>
      </x:c>
      <x:c r="D65" s="21" t="str">
        <x:v>Torch floating touch-off / breakaway mount</x:v>
      </x:c>
      <x:c r="E65" s="29" t="n">
        <x:v>1</x:v>
      </x:c>
      <x:c r="F65" s="29" t="str">
        <x:v>set</x:v>
      </x:c>
      <x:c r="G65" s="28" t="n">
        <x:v>90</x:v>
      </x:c>
      <x:c r="H65" s="28" t="str">
        <x:v>Allowance</x:v>
      </x:c>
      <x:c r="I65" s="28" t="n">
        <x:f>E65*G65</x:f>
        <x:v>90</x:v>
      </x:c>
      <x:c r="J65" s="21" t="str">
        <x:v>Amazon unselected</x:v>
      </x:c>
      <x:c r="K65" s="21" t="str">
        <x:v>Select exact part</x:v>
      </x:c>
      <x:c r="L65" s="21"/>
      <x:c r="M65" s="30" t="str"/>
      <x:c r="N65" s="21" t="str">
        <x:v>Mounting the owned straight torch does not provide touch-off or THC. Rigid indexed router mount remains separate.</x:v>
      </x:c>
    </x:row>
    <x:row r="66" ht="60" customHeight="1">
      <x:c r="A66" s="21" t="str">
        <x:v>P02</x:v>
      </x:c>
      <x:c r="B66" s="21" t="str">
        <x:v>Common</x:v>
      </x:c>
      <x:c r="C66" s="21" t="str">
        <x:v>Plasma interface</x:v>
      </x:c>
      <x:c r="D66" s="21" t="str">
        <x:v>Isolated torch-start / arc interface and cable</x:v>
      </x:c>
      <x:c r="E66" s="29" t="n">
        <x:v>1</x:v>
      </x:c>
      <x:c r="F66" s="29" t="str">
        <x:v>set</x:v>
      </x:c>
      <x:c r="G66" s="28" t="n">
        <x:v>85</x:v>
      </x:c>
      <x:c r="H66" s="28" t="str">
        <x:v>Allowance</x:v>
      </x:c>
      <x:c r="I66" s="28" t="n">
        <x:f>E66*G66</x:f>
        <x:v>85</x:v>
      </x:c>
      <x:c r="J66" s="21" t="str">
        <x:v>Amazon unselected</x:v>
      </x:c>
      <x:c r="K66" s="21" t="str">
        <x:v>Select exact part</x:v>
      </x:c>
      <x:c r="L66" s="21"/>
      <x:c r="M66" s="30" t="str"/>
      <x:c r="N66" s="21" t="str">
        <x:v>Torch-start isolation and cutter cabling/accessories only; sensing hardware provision is E08. Actual cutter and HF immunity unresolved. Neither printer board is a direct plasma-voltage interface.</x:v>
      </x:c>
    </x:row>
    <x:row r="67" ht="60" customHeight="1">
      <x:c r="A67" s="21" t="str">
        <x:v>P03</x:v>
      </x:c>
      <x:c r="B67" s="21" t="str">
        <x:v>Common</x:v>
      </x:c>
      <x:c r="C67" s="21" t="str">
        <x:v>Plasma interface</x:v>
      </x:c>
      <x:c r="D67" s="21" t="str">
        <x:v>Torch lead support, shield and work-return lug</x:v>
      </x:c>
      <x:c r="E67" s="29" t="n">
        <x:v>1</x:v>
      </x:c>
      <x:c r="F67" s="29" t="str">
        <x:v>set</x:v>
      </x:c>
      <x:c r="G67" s="28" t="n">
        <x:v>40</x:v>
      </x:c>
      <x:c r="H67" s="28" t="str">
        <x:v>Allowance</x:v>
      </x:c>
      <x:c r="I67" s="28" t="n">
        <x:f>E67*G67</x:f>
        <x:v>40</x:v>
      </x:c>
      <x:c r="J67" s="21" t="str">
        <x:v>Amazon unselected</x:v>
      </x:c>
      <x:c r="K67" s="21" t="str">
        <x:v>Select exact part</x:v>
      </x:c>
      <x:c r="L67" s="21"/>
      <x:c r="M67" s="30" t="str"/>
      <x:c r="N67" s="21" t="str">
        <x:v>Keep torch cable drag off the Z. Protect modules and provide dedicated work-return path.</x:v>
      </x:c>
    </x:row>
    <x:row r="68" ht="60" customHeight="1">
      <x:c r="A68" s="21" t="str">
        <x:v>W01</x:v>
      </x:c>
      <x:c r="B68" s="21" t="str">
        <x:v>Common</x:v>
      </x:c>
      <x:c r="C68" s="21" t="str">
        <x:v>Water common</x:v>
      </x:c>
      <x:c r="D68" s="21" t="str">
        <x:v>Cleanable liquid level sensors</x:v>
      </x:c>
      <x:c r="E68" s="29" t="n">
        <x:v>5</x:v>
      </x:c>
      <x:c r="F68" s="29" t="str">
        <x:v>channel</x:v>
      </x:c>
      <x:c r="G68" s="28" t="n">
        <x:v>25</x:v>
      </x:c>
      <x:c r="H68" s="28" t="str">
        <x:v>Allowance</x:v>
      </x:c>
      <x:c r="I68" s="28" t="n">
        <x:f>E68*G68</x:f>
        <x:v>125</x:v>
      </x:c>
      <x:c r="J68" s="21" t="str">
        <x:v>Amazon unselected</x:v>
      </x:c>
      <x:c r="K68" s="21" t="str">
        <x:v>Select exact part</x:v>
      </x:c>
      <x:c r="L68" s="21"/>
      <x:c r="M68" s="30" t="str"/>
      <x:c r="N68" s="21" t="str">
        <x:v>Allowance only: pan low/normal/HH and tank LL/HH. The 100 mm pan and 10 mm normal-to-overflow band require actual hysteresis/position checks.</x:v>
      </x:c>
    </x:row>
    <x:row r="69" ht="60" customHeight="1">
      <x:c r="A69" s="21" t="str">
        <x:v>W02</x:v>
      </x:c>
      <x:c r="B69" s="21" t="str">
        <x:v>Common</x:v>
      </x:c>
      <x:c r="C69" s="21" t="str">
        <x:v>Water common</x:v>
      </x:c>
      <x:c r="D69" s="21" t="str">
        <x:v>Sensor guards, brackets and bosses</x:v>
      </x:c>
      <x:c r="E69" s="29" t="n">
        <x:v>1</x:v>
      </x:c>
      <x:c r="F69" s="29" t="str">
        <x:v>lot</x:v>
      </x:c>
      <x:c r="G69" s="28" t="n">
        <x:v>45</x:v>
      </x:c>
      <x:c r="H69" s="28" t="str">
        <x:v>Allowance</x:v>
      </x:c>
      <x:c r="I69" s="28" t="n">
        <x:f>E69*G69</x:f>
        <x:v>45</x:v>
      </x:c>
      <x:c r="J69" s="21" t="str">
        <x:v>Amazon unselected</x:v>
      </x:c>
      <x:c r="K69" s="21" t="str">
        <x:v>Select exact part</x:v>
      </x:c>
      <x:c r="L69" s="21"/>
      <x:c r="M69" s="30" t="str"/>
      <x:c r="N69" s="21" t="str">
        <x:v>Mounting pockets must be accessible and keep slag away. Independent overflow remains separate.</x:v>
      </x:c>
    </x:row>
    <x:row r="70" ht="60" customHeight="1">
      <x:c r="A70" s="21" t="str">
        <x:v>W03</x:v>
      </x:c>
      <x:c r="B70" s="21" t="str">
        <x:v>Common</x:v>
      </x:c>
      <x:c r="C70" s="21" t="str">
        <x:v>Water common</x:v>
      </x:c>
      <x:c r="D70" s="21" t="str">
        <x:v>1.5-inch water transfer and overflow hose</x:v>
      </x:c>
      <x:c r="E70" s="29" t="n">
        <x:v>10</x:v>
      </x:c>
      <x:c r="F70" s="29" t="str">
        <x:v>foot</x:v>
      </x:c>
      <x:c r="G70" s="28" t="n">
        <x:v>5</x:v>
      </x:c>
      <x:c r="H70" s="28" t="str">
        <x:v>Allowance</x:v>
      </x:c>
      <x:c r="I70" s="28" t="n">
        <x:f>E70*G70</x:f>
        <x:v>50</x:v>
      </x:c>
      <x:c r="J70" s="21" t="str">
        <x:v>Amazon unselected</x:v>
      </x:c>
      <x:c r="K70" s="21" t="str">
        <x:v>Select exact part</x:v>
      </x:c>
      <x:c r="L70" s="21"/>
      <x:c r="M70" s="30" t="str"/>
      <x:c r="N70" s="21" t="str">
        <x:v>Preliminary length. Separate continuously falling drain/overflow routes with cleanouts. Actual hose media, heat and pressure ratings to select.</x:v>
      </x:c>
    </x:row>
    <x:row r="71" ht="60" customHeight="1">
      <x:c r="A71" s="21" t="str">
        <x:v>W04</x:v>
      </x:c>
      <x:c r="B71" s="21" t="str">
        <x:v>Common</x:v>
      </x:c>
      <x:c r="C71" s="21" t="str">
        <x:v>Water common</x:v>
      </x:c>
      <x:c r="D71" s="21" t="str">
        <x:v>Bulkheads, cleanouts, unions, clamps and basket</x:v>
      </x:c>
      <x:c r="E71" s="29" t="n">
        <x:v>1</x:v>
      </x:c>
      <x:c r="F71" s="29" t="str">
        <x:v>lot</x:v>
      </x:c>
      <x:c r="G71" s="28" t="n">
        <x:v>130</x:v>
      </x:c>
      <x:c r="H71" s="28" t="str">
        <x:v>Allowance</x:v>
      </x:c>
      <x:c r="I71" s="28" t="n">
        <x:f>E71*G71</x:f>
        <x:v>130</x:v>
      </x:c>
      <x:c r="J71" s="21" t="str">
        <x:v>Amazon unselected</x:v>
      </x:c>
      <x:c r="K71" s="21" t="str">
        <x:v>Select exact part</x:v>
      </x:c>
      <x:c r="L71" s="21"/>
      <x:c r="M71" s="30" t="str"/>
      <x:c r="N71" s="21" t="str">
        <x:v>Includes coarse pan catch and independent overflow fittings. Raw pan sheet in S05. Final thread sizes and counts depend on selected water option.</x:v>
      </x:c>
    </x:row>
    <x:row r="72" ht="60" customHeight="1">
      <x:c r="A72" s="21" t="str">
        <x:v>W05</x:v>
      </x:c>
      <x:c r="B72" s="21" t="str">
        <x:v>Common</x:v>
      </x:c>
      <x:c r="C72" s="21" t="str">
        <x:v>Water common</x:v>
      </x:c>
      <x:c r="D72" s="21" t="str">
        <x:v>Reservoir supports, leak tray and heat shield</x:v>
      </x:c>
      <x:c r="E72" s="29" t="n">
        <x:v>1</x:v>
      </x:c>
      <x:c r="F72" s="29" t="str">
        <x:v>lot</x:v>
      </x:c>
      <x:c r="G72" s="28" t="n">
        <x:v>70</x:v>
      </x:c>
      <x:c r="H72" s="28" t="str">
        <x:v>Allowance</x:v>
      </x:c>
      <x:c r="I72" s="28" t="n">
        <x:f>E72*G72</x:f>
        <x:v>70</x:v>
      </x:c>
      <x:c r="J72" s="21" t="str">
        <x:v>Amazon unselected</x:v>
      </x:c>
      <x:c r="K72" s="21" t="str">
        <x:v>Select exact part</x:v>
      </x:c>
      <x:c r="L72" s="21"/>
      <x:c r="M72" s="30" t="str"/>
      <x:c r="N72" s="21" t="str">
        <x:v>Rear reservoir bay only: cradle, leak tray and shield materials. Front storage supports/liners are in S09. Support full water weight without consuming the front bed-storage space.</x:v>
      </x:c>
    </x:row>
    <x:row r="73" ht="60" customHeight="1">
      <x:c r="A73" s="21" t="str">
        <x:v>W06</x:v>
      </x:c>
      <x:c r="B73" s="21" t="str">
        <x:v>Common</x:v>
      </x:c>
      <x:c r="C73" s="21" t="str">
        <x:v>Water common</x:v>
      </x:c>
      <x:c r="D73" s="21" t="str">
        <x:v>Water-control relays, tubing and fittings</x:v>
      </x:c>
      <x:c r="E73" s="29" t="n">
        <x:v>1</x:v>
      </x:c>
      <x:c r="F73" s="29" t="str">
        <x:v>lot</x:v>
      </x:c>
      <x:c r="G73" s="28" t="n">
        <x:v>50</x:v>
      </x:c>
      <x:c r="H73" s="28" t="str">
        <x:v>Allowance</x:v>
      </x:c>
      <x:c r="I73" s="28" t="n">
        <x:f>E73*G73</x:f>
        <x:v>50</x:v>
      </x:c>
      <x:c r="J73" s="21" t="str">
        <x:v>Amazon unselected</x:v>
      </x:c>
      <x:c r="K73" s="21" t="str">
        <x:v>Select exact part</x:v>
      </x:c>
      <x:c r="L73" s="21"/>
      <x:c r="M73" s="30" t="str"/>
      <x:c r="N73" s="21" t="str">
        <x:v>Dedicated water output and independent HH/LL trip relays, plus small control fittings. Excluded from E13; main DIN terminals are in E15. No automatic machining restart.</x:v>
      </x:c>
    </x:row>
    <x:row r="74" ht="60" customHeight="1">
      <x:c r="A74" s="21" t="str">
        <x:v>Q01</x:v>
      </x:c>
      <x:c r="B74" s="21" t="str">
        <x:v>Air option</x:v>
      </x:c>
      <x:c r="C74" s="21" t="str">
        <x:v>Water chamber</x:v>
      </x:c>
      <x:c r="D74" s="21" t="str">
        <x:v>Purpose-designed low-pressure displacement chamber</x:v>
      </x:c>
      <x:c r="E74" s="29" t="n">
        <x:v>1</x:v>
      </x:c>
      <x:c r="F74" s="29" t="str">
        <x:v>assembly</x:v>
      </x:c>
      <x:c r="G74" s="28" t="n">
        <x:v>700</x:v>
      </x:c>
      <x:c r="H74" s="28" t="str">
        <x:v>Allowance</x:v>
      </x:c>
      <x:c r="I74" s="28" t="n">
        <x:f>E74*G74</x:f>
        <x:v>700</x:v>
      </x:c>
      <x:c r="J74" s="21" t="str">
        <x:v>Air fabrication</x:v>
      </x:c>
      <x:c r="K74" s="21" t="str">
        <x:v>Pressure and fit quote</x:v>
      </x:c>
      <x:c r="L74" s="21"/>
      <x:c r="M74" s="30" t="str"/>
      <x:c r="N74" s="21" t="str">
        <x:v>Not the vented tank with its lid sealed. Reserve &gt;=125 L usable return capacity in the rear bay. Pressure rating, reinforcement, cleanout and relief sizing need supplier engineering.</x:v>
      </x:c>
    </x:row>
    <x:row r="75" ht="60" customHeight="1">
      <x:c r="A75" s="21" t="str">
        <x:v>Q02</x:v>
      </x:c>
      <x:c r="B75" s="21" t="str">
        <x:v>Air option</x:v>
      </x:c>
      <x:c r="C75" s="21" t="str">
        <x:v>Air controls</x:v>
      </x:c>
      <x:c r="D75" s="21" t="str">
        <x:v>Low-pressure regulator, gauge and relief package</x:v>
      </x:c>
      <x:c r="E75" s="29" t="n">
        <x:v>1</x:v>
      </x:c>
      <x:c r="F75" s="29" t="str">
        <x:v>set</x:v>
      </x:c>
      <x:c r="G75" s="28" t="n">
        <x:v>150</x:v>
      </x:c>
      <x:c r="H75" s="28" t="str">
        <x:v>Allowance</x:v>
      </x:c>
      <x:c r="I75" s="28" t="n">
        <x:f>E75*G75</x:f>
        <x:v>150</x:v>
      </x:c>
      <x:c r="J75" s="21" t="str">
        <x:v>Air components</x:v>
      </x:c>
      <x:c r="K75" s="21" t="str">
        <x:v>Select matched ratings</x:v>
      </x:c>
      <x:c r="L75" s="21"/>
      <x:c r="M75" s="30" t="str"/>
      <x:c r="N75" s="21" t="str">
        <x:v>Regulator range and relief capacity must suit the rated chamber and restricted inlet. About 0.9 psi ideal static head is not an operating setpoint or vessel rating.</x:v>
      </x:c>
    </x:row>
    <x:row r="76" ht="60" customHeight="1">
      <x:c r="A76" s="21" t="str">
        <x:v>Q03</x:v>
      </x:c>
      <x:c r="B76" s="21" t="str">
        <x:v>Air option</x:v>
      </x:c>
      <x:c r="C76" s="21" t="str">
        <x:v>Air controls</x:v>
      </x:c>
      <x:c r="D76" s="21" t="str">
        <x:v>Air isolation, restrictor, exhaust and connections</x:v>
      </x:c>
      <x:c r="E76" s="29" t="n">
        <x:v>1</x:v>
      </x:c>
      <x:c r="F76" s="29" t="str">
        <x:v>set</x:v>
      </x:c>
      <x:c r="G76" s="28" t="n">
        <x:v>75</x:v>
      </x:c>
      <x:c r="H76" s="28" t="str">
        <x:v>Allowance</x:v>
      </x:c>
      <x:c r="I76" s="28" t="n">
        <x:f>E76*G76</x:f>
        <x:v>75</x:v>
      </x:c>
      <x:c r="J76" s="21" t="str">
        <x:v>Air components</x:v>
      </x:c>
      <x:c r="K76" s="21" t="str">
        <x:v>Valve models pending</x:v>
      </x:c>
      <x:c r="L76" s="21"/>
      <x:c r="M76" s="30" t="str"/>
      <x:c r="N76" s="21" t="str">
        <x:v>Use known fail states and manual vent. Existing solenoids are owned but voltage, ports and minimum operating pressure need verification.</x:v>
      </x:c>
    </x:row>
    <x:row r="77" ht="60" customHeight="1">
      <x:c r="A77" s="21" t="str">
        <x:v>Q04</x:v>
      </x:c>
      <x:c r="B77" s="21" t="str">
        <x:v>Air option</x:v>
      </x:c>
      <x:c r="C77" s="21" t="str">
        <x:v>Air controls</x:v>
      </x:c>
      <x:c r="D77" s="21" t="str">
        <x:v>Solenoid replacement contingency</x:v>
      </x:c>
      <x:c r="E77" s="29" t="n">
        <x:v>1</x:v>
      </x:c>
      <x:c r="F77" s="29" t="str">
        <x:v>set</x:v>
      </x:c>
      <x:c r="G77" s="28" t="n">
        <x:v>60</x:v>
      </x:c>
      <x:c r="H77" s="28" t="str">
        <x:v>Allowance</x:v>
      </x:c>
      <x:c r="I77" s="28" t="n">
        <x:f>E77*G77</x:f>
        <x:v>60</x:v>
      </x:c>
      <x:c r="J77" s="21" t="str">
        <x:v>Air components</x:v>
      </x:c>
      <x:c r="K77" s="21" t="str">
        <x:v>Conditional allowance</x:v>
      </x:c>
      <x:c r="L77" s="21"/>
      <x:c r="M77" s="30" t="str"/>
      <x:c r="N77" s="21" t="str">
        <x:v>Reserve only until owned valves prove suitable; set quantity to zero once compatible parts are assigned. Venturi is not required for positive-pressure fill/gravity drain.</x:v>
      </x:c>
    </x:row>
    <x:row r="78" ht="60" customHeight="1">
      <x:c r="A78" s="21" t="str">
        <x:v>D01</x:v>
      </x:c>
      <x:c r="B78" s="21" t="str">
        <x:v>Pump option</x:v>
      </x:c>
      <x:c r="C78" s="21" t="str">
        <x:v>Water reservoir</x:v>
      </x:c>
      <x:c r="D78" s="21" t="str">
        <x:v>Vented 157.5 L gross reservoir with baffle/cleanout</x:v>
      </x:c>
      <x:c r="E78" s="29" t="n">
        <x:v>1</x:v>
      </x:c>
      <x:c r="F78" s="29" t="str">
        <x:v>assembly</x:v>
      </x:c>
      <x:c r="G78" s="28" t="n">
        <x:v>350</x:v>
      </x:c>
      <x:c r="H78" s="28" t="str">
        <x:v>Allowance</x:v>
      </x:c>
      <x:c r="I78" s="28" t="n">
        <x:f>E78*G78</x:f>
        <x:v>350</x:v>
      </x:c>
      <x:c r="J78" s="21" t="str">
        <x:v>Pump fabrication</x:v>
      </x:c>
      <x:c r="K78" s="21" t="str">
        <x:v>Tank fit quote</x:v>
      </x:c>
      <x:c r="L78" s="21"/>
      <x:c r="M78" s="30" t="str">
        <x:v>https://www.tank-mart.com/fabricated-tanks/</x:v>
      </x:c>
      <x:c r="N78" s="21" t="str">
        <x:v>900 x 500 x 350 mm INTERNAL concept; actual outside envelope and minimum125 L usable capacity need a custom quote. Never pressurize this tank.</x:v>
      </x:c>
    </x:row>
    <x:row r="79" ht="60" customHeight="1">
      <x:c r="A79" s="21" t="str">
        <x:v>D02</x:v>
      </x:c>
      <x:c r="B79" s="21" t="str">
        <x:v>Pump option</x:v>
      </x:c>
      <x:c r="C79" s="21" t="str">
        <x:v>Water valve</x:v>
      </x:c>
      <x:c r="D79" s="21" t="str">
        <x:v>U.S. Solid JFMSV90024 1-inch motorized valve</x:v>
      </x:c>
      <x:c r="E79" s="29" t="n">
        <x:v>1</x:v>
      </x:c>
      <x:c r="F79" s="29" t="str">
        <x:v>each</x:v>
      </x:c>
      <x:c r="G79" s="28" t="n">
        <x:v>207.99</x:v>
      </x:c>
      <x:c r="H79" s="28" t="str">
        <x:v>Posted price</x:v>
      </x:c>
      <x:c r="I79" s="28" t="n">
        <x:f>E79*G79</x:f>
        <x:v>207.99</x:v>
      </x:c>
      <x:c r="J79" s="21" t="str">
        <x:v>US Solid</x:v>
      </x:c>
      <x:c r="K79" s="21" t="str">
        <x:v>Dirty-water validation</x:v>
      </x:c>
      <x:c r="L79" s="21"/>
      <x:c r="M79" s="30" t="str">
        <x:v>https://ussolid.com/products/1-in-brass-motorized-ball-valve-fast-2-second-12-24-v-dc-24-v-ac-5-wire-auto-return-normally-closed-full-port-ip68-manual-override</x:v>
      </x:c>
      <x:c r="N79" s="21" t="str">
        <x:v>12–24 VDC; full-port brass; manual override; open and closed feedback; normally closed on power loss. Chemical/fines compatibility unresolved.</x:v>
      </x:c>
    </x:row>
    <x:row r="80" ht="60" customHeight="1">
      <x:c r="A80" s="21" t="str">
        <x:v>D03</x:v>
      </x:c>
      <x:c r="B80" s="21" t="str">
        <x:v>Pump option</x:v>
      </x:c>
      <x:c r="C80" s="21" t="str">
        <x:v>Water pump</x:v>
      </x:c>
      <x:c r="D80" s="21" t="str">
        <x:v>Whale Gulper 320 BP2054, 24 V</x:v>
      </x:c>
      <x:c r="E80" s="29" t="n">
        <x:v>1</x:v>
      </x:c>
      <x:c r="F80" s="29" t="str">
        <x:v>each</x:v>
      </x:c>
      <x:c r="G80" s="28" t="n">
        <x:v>204.19</x:v>
      </x:c>
      <x:c r="H80" s="28" t="str">
        <x:v>Posted price</x:v>
      </x:c>
      <x:c r="I80" s="28" t="n">
        <x:f>E80*G80</x:f>
        <x:v>204.19</x:v>
      </x:c>
      <x:c r="J80" s="21" t="str">
        <x:v>Neobits</x:v>
      </x:c>
      <x:c r="K80" s="21" t="str">
        <x:v>Confirm indexed price</x:v>
      </x:c>
      <x:c r="L80" s="21"/>
      <x:c r="M80" s="30" t="str">
        <x:v>https://www.neobits.com/whale_bp2054_gulper_320_24v_retail_each__p24302101.html</x:v>
      </x:c>
      <x:c r="N80" s="21" t="str">
        <x:v>Indexed seller price; confirm current offer/stock at checkout. Clarified-water refill candidate, not raw abrasive slurry. Head/flow, motor starting current and shipping remain unverified.</x:v>
      </x:c>
    </x:row>
    <x:row r="81" ht="60" customHeight="1">
      <x:c r="A81" s="21" t="str">
        <x:v>D04</x:v>
      </x:c>
      <x:c r="B81" s="21" t="str">
        <x:v>Pump option</x:v>
      </x:c>
      <x:c r="C81" s="21" t="str">
        <x:v>Water plumbing</x:v>
      </x:c>
      <x:c r="D81" s="21" t="str">
        <x:v>1-inch pump hose, strainer and air-gap return</x:v>
      </x:c>
      <x:c r="E81" s="29" t="n">
        <x:v>1</x:v>
      </x:c>
      <x:c r="F81" s="29" t="str">
        <x:v>set</x:v>
      </x:c>
      <x:c r="G81" s="28" t="n">
        <x:v>65</x:v>
      </x:c>
      <x:c r="H81" s="28" t="str">
        <x:v>Allowance</x:v>
      </x:c>
      <x:c r="I81" s="28" t="n">
        <x:f>E81*G81</x:f>
        <x:v>65</x:v>
      </x:c>
      <x:c r="J81" s="21" t="str">
        <x:v>Pump components</x:v>
      </x:c>
      <x:c r="K81" s="21" t="str">
        <x:v>Select exact fittings</x:v>
      </x:c>
      <x:c r="L81" s="21"/>
      <x:c r="M81" s="30" t="str"/>
      <x:c r="N81" s="21" t="str">
        <x:v>Suction/discharge length, service unions and clarified pickup. Separate from gravity return/overflow.</x:v>
      </x:c>
    </x:row>
    <x:row r="82" ht="60" customHeight="1">
      <x:c r="A82" s="21" t="str">
        <x:v>O01</x:v>
      </x:c>
      <x:c r="B82" s="21" t="str">
        <x:v>Owned</x:v>
      </x:c>
      <x:c r="C82" s="21" t="str">
        <x:v>Existing equipment</x:v>
      </x:c>
      <x:c r="D82" s="21" t="str">
        <x:v>12 CFM compressor</x:v>
      </x:c>
      <x:c r="E82" s="29" t="n">
        <x:v>1</x:v>
      </x:c>
      <x:c r="F82" s="29" t="str">
        <x:v>each</x:v>
      </x:c>
      <x:c r="G82" s="28" t="n">
        <x:v>0</x:v>
      </x:c>
      <x:c r="H82" s="28" t="str">
        <x:v>Owned</x:v>
      </x:c>
      <x:c r="I82" s="28" t="n">
        <x:f>E82*G82</x:f>
        <x:v>0</x:v>
      </x:c>
      <x:c r="J82" s="21" t="str">
        <x:v>None</x:v>
      </x:c>
      <x:c r="K82" s="21" t="str">
        <x:v>Verify rated delivery</x:v>
      </x:c>
      <x:c r="L82" s="21"/>
      <x:c r="M82" s="30" t="str"/>
      <x:c r="N82" s="21" t="str">
        <x:v>User-reported. Verify delivered CFM at required pressure. No new compressor is included in either water-option total.</x:v>
      </x:c>
    </x:row>
    <x:row r="83" ht="60" customHeight="1">
      <x:c r="A83" s="21" t="str">
        <x:v>O02</x:v>
      </x:c>
      <x:c r="B83" s="21" t="str">
        <x:v>Owned</x:v>
      </x:c>
      <x:c r="C83" s="21" t="str">
        <x:v>Existing equipment</x:v>
      </x:c>
      <x:c r="D83" s="21" t="str">
        <x:v>CV-15HS venturi vacuum generator</x:v>
      </x:c>
      <x:c r="E83" s="29" t="n">
        <x:v>1</x:v>
      </x:c>
      <x:c r="F83" s="29" t="str">
        <x:v>each</x:v>
      </x:c>
      <x:c r="G83" s="28" t="n">
        <x:v>0</x:v>
      </x:c>
      <x:c r="H83" s="28" t="str">
        <x:v>Owned</x:v>
      </x:c>
      <x:c r="I83" s="28" t="n">
        <x:f>E83*G83</x:f>
        <x:v>0</x:v>
      </x:c>
      <x:c r="J83" s="21" t="str">
        <x:v>None</x:v>
      </x:c>
      <x:c r="K83" s="21" t="str">
        <x:v>Confirm manufacturer</x:v>
      </x:c>
      <x:c r="L83" s="21"/>
      <x:c r="M83" s="30" t="str">
        <x:v>https://shop.convum.com/products/200100006</x:v>
      </x:c>
      <x:c r="N83" s="21" t="str">
        <x:v>CONVUM reference:100 L/min air at0.5 MPa;63 L/min suction. User brand not confirmed. Reserve for sealed vacuum fixtures; no dirty-water flow through generator.</x:v>
      </x:c>
    </x:row>
    <x:row r="84" ht="60" customHeight="1">
      <x:c r="A84" s="21" t="str">
        <x:v>O03</x:v>
      </x:c>
      <x:c r="B84" s="21" t="str">
        <x:v>Owned</x:v>
      </x:c>
      <x:c r="C84" s="21" t="str">
        <x:v>Existing equipment</x:v>
      </x:c>
      <x:c r="D84" s="21" t="str">
        <x:v>Existing solenoid valves</x:v>
      </x:c>
      <x:c r="E84" s="29" t="n">
        <x:v>1</x:v>
      </x:c>
      <x:c r="F84" s="29" t="str">
        <x:v>lot</x:v>
      </x:c>
      <x:c r="G84" s="28" t="n">
        <x:v>0</x:v>
      </x:c>
      <x:c r="H84" s="28" t="str">
        <x:v>Owned</x:v>
      </x:c>
      <x:c r="I84" s="28" t="n">
        <x:f>E84*G84</x:f>
        <x:v>0</x:v>
      </x:c>
      <x:c r="J84" s="21" t="str">
        <x:v>None</x:v>
      </x:c>
      <x:c r="K84" s="21" t="str">
        <x:v>Voltage/ports unknown</x:v>
      </x:c>
      <x:c r="L84" s="21"/>
      <x:c r="M84" s="30" t="str"/>
      <x:c r="N84" s="21" t="str">
        <x:v>Counted as owned. Exact quantity/model/coil voltage and minimum pressure not provided; Q04 is conditional replacement allowance.</x:v>
      </x:c>
    </x:row>
    <x:row r="85" ht="60" customHeight="1">
      <x:c r="A85" s="21" t="str">
        <x:v>O04</x:v>
      </x:c>
      <x:c r="B85" s="21" t="str">
        <x:v>Owned</x:v>
      </x:c>
      <x:c r="C85" s="21" t="str">
        <x:v>Existing equipment</x:v>
      </x:c>
      <x:c r="D85" s="21" t="str">
        <x:v>Existing AG60/SG55-style straight torch</x:v>
      </x:c>
      <x:c r="E85" s="29" t="n">
        <x:v>1</x:v>
      </x:c>
      <x:c r="F85" s="29" t="str">
        <x:v>each</x:v>
      </x:c>
      <x:c r="G85" s="28" t="n">
        <x:v>0</x:v>
      </x:c>
      <x:c r="H85" s="28" t="str">
        <x:v>Owned</x:v>
      </x:c>
      <x:c r="I85" s="28" t="n">
        <x:f>E85*G85</x:f>
        <x:v>0</x:v>
      </x:c>
      <x:c r="J85" s="21" t="str">
        <x:v>None</x:v>
      </x:c>
      <x:c r="K85" s="21" t="str">
        <x:v>Exact model pending</x:v>
      </x:c>
      <x:c r="L85" s="21"/>
      <x:c r="M85" s="30" t="str">
        <x:v>https://www.amazon.com/dp/B07B8CWGB5</x:v>
      </x:c>
      <x:c r="N85" s="21" t="str">
        <x:v>User has something similar. Reference is a torch body, not complete THC or proof of cutter compatibility. No replacement torch is charged.</x:v>
      </x:c>
    </x:row>
    <x:row r="86" ht="60" customHeight="1">
      <x:c r="A86" s="21" t="str">
        <x:v>X01</x:v>
      </x:c>
      <x:c r="B86" s="21" t="str">
        <x:v>Optional</x:v>
      </x:c>
      <x:c r="C86" s="21" t="str">
        <x:v>Plasma replacement</x:v>
      </x:c>
      <x:c r="D86" s="21" t="str">
        <x:v>Bestarc BTC500XP 11GEN non-HF CNC cutter</x:v>
      </x:c>
      <x:c r="E86" s="29" t="n">
        <x:v>1</x:v>
      </x:c>
      <x:c r="F86" s="29" t="str">
        <x:v>each</x:v>
      </x:c>
      <x:c r="G86" s="28" t="n">
        <x:v>399.99</x:v>
      </x:c>
      <x:c r="H86" s="28" t="str">
        <x:v>Posted price</x:v>
      </x:c>
      <x:c r="I86" s="28" t="n">
        <x:f>E86*G86</x:f>
        <x:v>399.99</x:v>
      </x:c>
      <x:c r="J86" s="21" t="str">
        <x:v>Optional Bestarc</x:v>
      </x:c>
      <x:c r="K86" s="21" t="str">
        <x:v>Replacement proposal</x:v>
      </x:c>
      <x:c r="L86" s="21"/>
      <x:c r="M86" s="30" t="str">
        <x:v>https://www.bestarc.com/products/btc500xp-11gen-cnc-plasma-cutter</x:v>
      </x:c>
      <x:c r="N86" s="21" t="str">
        <x:v>Optional comparison only. Non-HF, CNC control ports; 1:1 arc output is raw voltage. Owned AG60-style head is not assumed compatible. Free shipping advertised, checkout pending.</x:v>
      </x:c>
    </x:row>
    <x:row r="87" ht="60" customHeight="1">
      <x:c r="A87" s="21" t="str">
        <x:v>X02</x:v>
      </x:c>
      <x:c r="B87" s="21" t="str">
        <x:v>Optional</x:v>
      </x:c>
      <x:c r="C87" s="21" t="str">
        <x:v>Plasma replacement</x:v>
      </x:c>
      <x:c r="D87" s="21" t="str">
        <x:v>IPTM60 20-foot machine torch</x:v>
      </x:c>
      <x:c r="E87" s="29" t="n">
        <x:v>1</x:v>
      </x:c>
      <x:c r="F87" s="29" t="str">
        <x:v>each</x:v>
      </x:c>
      <x:c r="G87" s="28" t="n">
        <x:v>159</x:v>
      </x:c>
      <x:c r="H87" s="28" t="str">
        <x:v>Posted price</x:v>
      </x:c>
      <x:c r="I87" s="28" t="n">
        <x:f>E87*G87</x:f>
        <x:v>159</x:v>
      </x:c>
      <x:c r="J87" s="21" t="str">
        <x:v>Optional Bestarc</x:v>
      </x:c>
      <x:c r="K87" s="21" t="str">
        <x:v>Verify cutter connection</x:v>
      </x:c>
      <x:c r="L87" s="21"/>
      <x:c r="M87" s="30" t="str">
        <x:v>https://www.bestarc.com/products/btc500xp-11gen-cnc-plasma-cutter</x:v>
      </x:c>
      <x:c r="N87" s="21" t="str">
        <x:v>Optional with compatible non-HF cutter; separately sold. Do not add unless replacing the current torch/cutter arrangement.</x:v>
      </x:c>
    </x:row>
    <x:row r="88" ht="60" customHeight="1">
      <x:c r="A88" s="21" t="str">
        <x:v>X03</x:v>
      </x:c>
      <x:c r="B88" s="21" t="str">
        <x:v>Optional</x:v>
      </x:c>
      <x:c r="C88" s="21" t="str">
        <x:v>Shop equipment</x:v>
      </x:c>
      <x:c r="D88" s="21" t="str">
        <x:v>Separate host PC, no longer selected</x:v>
      </x:c>
      <x:c r="E88" s="29" t="n">
        <x:v>0</x:v>
      </x:c>
      <x:c r="F88" s="29" t="str">
        <x:v>set</x:v>
      </x:c>
      <x:c r="G88" s="28" t="n">
        <x:v>250</x:v>
      </x:c>
      <x:c r="H88" s="28" t="str">
        <x:v>Allowance</x:v>
      </x:c>
      <x:c r="I88" s="28" t="n">
        <x:f>E88*G88</x:f>
        <x:v>0</x:v>
      </x:c>
      <x:c r="J88" s="21" t="str">
        <x:v>None</x:v>
      </x:c>
      <x:c r="K88" s="21" t="str">
        <x:v>CB1 host budgeted in E19</x:v>
      </x:c>
      <x:c r="L88" s="21"/>
      <x:c r="M88" s="30" t="str"/>
      <x:c r="N88" s="21" t="str">
        <x:v>CB1+carrier replaces the previous LinuxCNC host proposal. A network browser device is assumed available; a local monitor/control screen remains unpriced if wanted.</x:v>
      </x:c>
    </x:row>
    <x:row r="89" ht="60" customHeight="1">
      <x:c r="A89" s="21" t="str">
        <x:v>X04</x:v>
      </x:c>
      <x:c r="B89" s="21" t="str">
        <x:v>Optional</x:v>
      </x:c>
      <x:c r="C89" s="21" t="str">
        <x:v>Shop equipment</x:v>
      </x:c>
      <x:c r="D89" s="21" t="str">
        <x:v>Wood dust extractor and fine filtration</x:v>
      </x:c>
      <x:c r="E89" s="29" t="n">
        <x:v>1</x:v>
      </x:c>
      <x:c r="F89" s="29" t="str">
        <x:v>set</x:v>
      </x:c>
      <x:c r="G89" s="28" t="n">
        <x:v>250</x:v>
      </x:c>
      <x:c r="H89" s="28" t="str">
        <x:v>Allowance</x:v>
      </x:c>
      <x:c r="I89" s="28" t="n">
        <x:f>E89*G89</x:f>
        <x:v>250</x:v>
      </x:c>
      <x:c r="J89" s="21" t="str">
        <x:v>Optional equipment</x:v>
      </x:c>
      <x:c r="K89" s="21" t="str">
        <x:v>Needed if none available</x:v>
      </x:c>
      <x:c r="L89" s="21"/>
      <x:c r="M89" s="30" t="str"/>
      <x:c r="N89" s="21" t="str">
        <x:v>Separate from R02 shoe/hose. Not a plasma fume extractor.</x:v>
      </x:c>
    </x:row>
    <x:row r="90" ht="60" customHeight="1">
      <x:c r="A90" s="21" t="str">
        <x:v>X05</x:v>
      </x:c>
      <x:c r="B90" s="21" t="str">
        <x:v>Optional</x:v>
      </x:c>
      <x:c r="C90" s="21" t="str">
        <x:v>Shop equipment</x:v>
      </x:c>
      <x:c r="D90" s="21" t="str">
        <x:v>Plasma fume extraction and clean dry air treatment</x:v>
      </x:c>
      <x:c r="E90" s="29" t="n">
        <x:v>1</x:v>
      </x:c>
      <x:c r="F90" s="29" t="str">
        <x:v>set</x:v>
      </x:c>
      <x:c r="G90" s="28" t="n">
        <x:v>350</x:v>
      </x:c>
      <x:c r="H90" s="28" t="str">
        <x:v>Allowance</x:v>
      </x:c>
      <x:c r="I90" s="28" t="n">
        <x:f>E90*G90</x:f>
        <x:v>350</x:v>
      </x:c>
      <x:c r="J90" s="21" t="str">
        <x:v>Optional equipment</x:v>
      </x:c>
      <x:c r="K90" s="21" t="str">
        <x:v>Shop-dependent quote</x:v>
      </x:c>
      <x:c r="L90" s="21"/>
      <x:c r="M90" s="30" t="str"/>
      <x:c r="N90" s="21" t="str">
        <x:v>Provisional allowance only; actual airflow, duct route and filtration require shop-specific selection. Water pan does not replace fume management.</x:v>
      </x:c>
    </x:row>
    <x:row r="91" ht="60" customHeight="1">
      <x:c r="A91" s="21" t="str">
        <x:v>C01</x:v>
      </x:c>
      <x:c r="B91" s="21" t="str">
        <x:v>Manta alternative</x:v>
      </x:c>
      <x:c r="C91" s="21" t="str">
        <x:v>Controls</x:v>
      </x:c>
      <x:c r="D91" s="21" t="str">
        <x:v>BIGTREETECH Manta M5P V1.0</x:v>
      </x:c>
      <x:c r="E91" s="29" t="n">
        <x:v>1</x:v>
      </x:c>
      <x:c r="F91" s="29" t="str">
        <x:v>each</x:v>
      </x:c>
      <x:c r="G91" s="28" t="n">
        <x:v>59.99</x:v>
      </x:c>
      <x:c r="H91" s="28" t="str">
        <x:v>User screenshot</x:v>
      </x:c>
      <x:c r="I91" s="28" t="n">
        <x:f>E91*G91</x:f>
        <x:v>59.99</x:v>
      </x:c>
      <x:c r="J91" s="21" t="str">
        <x:v>Manta alternative</x:v>
      </x:c>
      <x:c r="K91" s="21" t="str">
        <x:v>Alternative, excluded from totals</x:v>
      </x:c>
      <x:c r="L91" s="21"/>
      <x:c r="M91" s="30" t="str">
        <x:v>https://github.com/bigtreetech/Manta-M5P</x:v>
      </x:c>
      <x:c r="N91" s="21" t="str">
        <x:v>User screenshot price. Substitute for E07 Kraken and omit E20 Pi4B. Keep E19 CB1. Four separate channels; the two Motor3 connectors are one shared driver. Live plasma THC remains unresolved.</x:v>
      </x:c>
    </x:row>
    <x:row r="92" ht="60" customHeight="1">
      <x:c r="A92" s="21" t="str">
        <x:v>C02</x:v>
      </x:c>
      <x:c r="B92" s="21" t="str">
        <x:v>Manta alternative</x:v>
      </x:c>
      <x:c r="C92" s="21" t="str">
        <x:v>Controls</x:v>
      </x:c>
      <x:c r="D92" s="21" t="str">
        <x:v>TMC5160T Pro plug-in SPI modules, four-pack</x:v>
      </x:c>
      <x:c r="E92" s="29" t="n">
        <x:v>1</x:v>
      </x:c>
      <x:c r="F92" s="29" t="str">
        <x:v>pack</x:v>
      </x:c>
      <x:c r="G92" s="28" t="n">
        <x:v>66.84</x:v>
      </x:c>
      <x:c r="H92" s="28" t="str">
        <x:v>Posted price</x:v>
      </x:c>
      <x:c r="I92" s="28" t="n">
        <x:f>E92*G92</x:f>
        <x:v>66.84</x:v>
      </x:c>
      <x:c r="J92" s="21" t="str">
        <x:v>Manta alternative</x:v>
      </x:c>
      <x:c r="K92" s="21" t="str">
        <x:v>Alternative, excluded from totals</x:v>
      </x:c>
      <x:c r="L92" s="21"/>
      <x:c r="M92" s="30" t="str">
        <x:v>https://biqu.equipment/products/tmc5160-pro-v1-0?variant=40301980647522</x:v>
      </x:c>
      <x:c r="N92" s="21" t="str">
        <x:v>Four modules fit on the motherboard; no external driver boxes. Standard StepStick format, not EZ or the large Plus modules. Exact module current/cooling and motor ratings must be matched.</x:v>
      </x:c>
    </x:row>
  </x:sheetData>
  <x:conditionalFormatting sqref="A6:K92">
    <x:cfRule type="expression" dxfId="0" priority="1">
      <x:formula>$H6="Allowance"</x:formula>
    </x:cfRule>
  </x:conditionalFormatting>
  <x:conditionalFormatting sqref="K6:K92">
    <x:cfRule type="expression" dxfId="1" priority="2">
      <x:formula>$H6="Out of stock"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b086454196548c1"/>
  </x:tableParts>
</x:worksheet>
</file>

<file path=xl/worksheets/sheet3.xml><?xml version="1.0" encoding="utf-8"?>
<x:worksheet xmlns:x="http://schemas.openxmlformats.org/spreadsheetml/2006/main">
  <x:sheetPr>
    <x:tabColor rgb="FFA6B5C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.1299991607666" hidden="0" customWidth="1"/>
    <x:col min="2" max="2" width="12.5" hidden="0" customWidth="1"/>
    <x:col min="3" max="3" width="28.75" hidden="0" customWidth="1"/>
    <x:col min="4" max="4" width="13.75" hidden="0" customWidth="1"/>
    <x:col min="5" max="5" width="13.75" hidden="0" customWidth="1"/>
    <x:col min="6" max="6" width="13.75" hidden="0" customWidth="1"/>
    <x:col min="7" max="7" width="13.75" hidden="0" customWidth="1"/>
    <x:col min="8" max="8" width="15.630000114440918" hidden="0" customWidth="1"/>
    <x:col min="9" max="9" width="22.5" hidden="0" customWidth="1"/>
    <x:col min="10" max="10" width="66.25" hidden="0" customWidth="1"/>
  </x:cols>
  <x:sheetData>
    <x:row r="1" ht="24" customHeight="1">
      <x:c r="A1" s="7"/>
      <x:c r="B1" s="7"/>
      <x:c r="C1" s="7"/>
      <x:c r="D1" s="7"/>
      <x:c r="E1" s="7"/>
      <x:c r="F1" s="7"/>
      <x:c r="G1" s="7"/>
      <x:c r="H1" s="7"/>
      <x:c r="I1" s="7"/>
      <x:c r="J1" s="7"/>
    </x:row>
    <x:row r="2" ht="32" customHeight="1">
      <x:c r="A2" s="9" t="str">
        <x:v>Shipping to Alto, GA 30510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 ht="24" customHeight="1">
      <x:c r="A3" s="10" t="str">
        <x:v>Quoted shipping and reserves are separate. Unknown freight is never silently treated as free.</x:v>
      </x:c>
      <x:c r="B3" s="7"/>
      <x:c r="C3" s="7"/>
      <x:c r="D3" s="7"/>
      <x:c r="E3" s="7"/>
      <x:c r="F3" s="7"/>
      <x:c r="G3" s="7"/>
      <x:c r="H3" s="7"/>
      <x:c r="I3" s="7"/>
      <x:c r="J3" s="7"/>
    </x:row>
    <x:row r="4" ht="24" customHeight="1">
      <x:c r="A4" s="7"/>
      <x:c r="B4" s="7"/>
      <x:c r="C4" s="7"/>
      <x:c r="D4" s="7"/>
      <x:c r="E4" s="7"/>
      <x:c r="F4" s="7"/>
      <x:c r="G4" s="7"/>
      <x:c r="H4" s="7"/>
      <x:c r="I4" s="7"/>
      <x:c r="J4" s="7"/>
    </x:row>
    <x:row r="5" ht="32" customHeight="1">
      <x:c r="A5" s="16" t="str">
        <x:v>Shipment group</x:v>
      </x:c>
      <x:c r="B5" s="16" t="str">
        <x:v>Scope</x:v>
      </x:c>
      <x:c r="C5" s="16" t="str">
        <x:v>Supplier</x:v>
      </x:c>
      <x:c r="D5" s="16" t="str">
        <x:v>Goods USD</x:v>
      </x:c>
      <x:c r="E5" s="16" t="str">
        <x:v>Quoted ship USD</x:v>
      </x:c>
      <x:c r="F5" s="16" t="str">
        <x:v>Ship reserve USD</x:v>
      </x:c>
      <x:c r="G5" s="16" t="str">
        <x:v>Ship used USD</x:v>
      </x:c>
      <x:c r="H5" s="16" t="str">
        <x:v>Budget incl. ship</x:v>
      </x:c>
      <x:c r="I5" s="16" t="str">
        <x:v>Shipping basis</x:v>
      </x:c>
      <x:c r="J5" s="16" t="str">
        <x:v>Conditions</x:v>
      </x:c>
    </x:row>
    <x:row r="6" ht="58" customHeight="1">
      <x:c r="A6" s="21" t="str">
        <x:v>Amazon checked</x:v>
      </x:c>
      <x:c r="B6" s="21" t="str">
        <x:v>Common</x:v>
      </x:c>
      <x:c r="C6" s="21" t="str">
        <x:v>Amazon selected offers</x:v>
      </x:c>
      <x:c r="D6" s="28" t="n">
        <x:f>SUMIFS(Parts!$I$6:$I$92,Parts!$J$6:$J$92,A6)</x:f>
        <x:v>1382.44</x:v>
      </x:c>
      <x:c r="E6" s="28" t="n">
        <x:v>0</x:v>
      </x:c>
      <x:c r="F6" s="28"/>
      <x:c r="G6" s="28" t="n">
        <x:f>IF(ISNUMBER(E6),E6,F6)</x:f>
        <x:v>0</x:v>
      </x:c>
      <x:c r="H6" s="28" t="n">
        <x:f>D6+G6</x:f>
        <x:v>1382.44</x:v>
      </x:c>
      <x:c r="I6" s="21" t="str">
        <x:v>Alto 30510 delivery shown</x:v>
      </x:c>
      <x:c r="J6" s="21" t="str">
        <x:v>Free delivery; small items require qualifying Amazon basket. No Prime-only or coupon discounts counted.</x:v>
      </x:c>
    </x:row>
    <x:row r="7" ht="58" customHeight="1">
      <x:c r="A7" s="21" t="str">
        <x:v>5V seller</x:v>
      </x:c>
      <x:c r="B7" s="21" t="str">
        <x:v>Common</x:v>
      </x:c>
      <x:c r="C7" s="21" t="str">
        <x:v>Former 5 V supply, not selected</x:v>
      </x:c>
      <x:c r="D7" s="28" t="n">
        <x:f>SUMIFS(Parts!$I$6:$I$92,Parts!$J$6:$J$92,A7)</x:f>
        <x:v>0</x:v>
      </x:c>
      <x:c r="E7" s="28" t="n">
        <x:v>0</x:v>
      </x:c>
      <x:c r="F7" s="28"/>
      <x:c r="G7" s="28" t="n">
        <x:f>IF(ISNUMBER(E7),E7,F7)</x:f>
        <x:v>0</x:v>
      </x:c>
      <x:c r="H7" s="28" t="n">
        <x:f>D7+G7</x:f>
        <x:v>0</x:v>
      </x:c>
      <x:c r="I7" s="21" t="str">
        <x:v>No purchase</x:v>
      </x:c>
      <x:c r="J7" s="21" t="str">
        <x:v>Separate 5 V supply has zero quantity; former $2.44 delivery removed.</x:v>
      </x:c>
    </x:row>
    <x:row r="8" ht="58" customHeight="1">
      <x:c r="A8" s="21" t="str">
        <x:v>Amazon unselected</x:v>
      </x:c>
      <x:c r="B8" s="21" t="str">
        <x:v>Common</x:v>
      </x:c>
      <x:c r="C8" s="21" t="str">
        <x:v>Amazon first, exact SKUs pending</x:v>
      </x:c>
      <x:c r="D8" s="28" t="n">
        <x:f>SUMIFS(Parts!$I$6:$I$92,Parts!$J$6:$J$92,A8)</x:f>
        <x:v>2932</x:v>
      </x:c>
      <x:c r="E8" s="28"/>
      <x:c r="F8" s="28" t="n">
        <x:v>75</x:v>
      </x:c>
      <x:c r="G8" s="28" t="n">
        <x:f>IF(ISNUMBER(E8),E8,F8)</x:f>
        <x:v>75</x:v>
      </x:c>
      <x:c r="H8" s="28" t="n">
        <x:f>D8+G8</x:f>
        <x:v>3007</x:v>
      </x:c>
      <x:c r="I8" s="21" t="str">
        <x:v>Allowance</x:v>
      </x:c>
      <x:c r="J8" s="21" t="str">
        <x:v>Freight reserve for unselected hardware; not a carrier quote. MDF/sand may be bought locally.</x:v>
      </x:c>
    </x:row>
    <x:row r="9" ht="58" customHeight="1">
      <x:c r="A9" s="21" t="str">
        <x:v>Local metal</x:v>
      </x:c>
      <x:c r="B9" s="21" t="str">
        <x:v>Common</x:v>
      </x:c>
      <x:c r="C9" s="21" t="str">
        <x:v>SteelMart Gainesville quote route</x:v>
      </x:c>
      <x:c r="D9" s="28" t="n">
        <x:f>SUMIFS(Parts!$I$6:$I$92,Parts!$J$6:$J$92,A9)</x:f>
        <x:v>2740.2200000000003</x:v>
      </x:c>
      <x:c r="E9" s="28"/>
      <x:c r="F9" s="28" t="n">
        <x:v>250</x:v>
      </x:c>
      <x:c r="G9" s="28" t="n">
        <x:f>IF(ISNUMBER(E9),E9,F9)</x:f>
        <x:v>250</x:v>
      </x:c>
      <x:c r="H9" s="28" t="n">
        <x:f>D9+G9</x:f>
        <x:v>2990.2200000000003</x:v>
      </x:c>
      <x:c r="I9" s="21" t="str">
        <x:v>Quote required</x:v>
      </x:c>
      <x:c r="J9" s="21" t="str">
        <x:v>Delivery/unloading must be quoted for Alto. Raw stock/cutting/service allowances are in Parts; delivery here only.</x:v>
      </x:c>
    </x:row>
    <x:row r="10" ht="58" customHeight="1">
      <x:c r="A10" s="21" t="str">
        <x:v>80/20</x:v>
      </x:c>
      <x:c r="B10" s="21" t="str">
        <x:v>Common</x:v>
      </x:c>
      <x:c r="C10" s="21" t="str">
        <x:v>80/20 direct</x:v>
      </x:c>
      <x:c r="D10" s="28" t="n">
        <x:f>SUMIFS(Parts!$I$6:$I$92,Parts!$J$6:$J$92,A10)</x:f>
        <x:v>151.73</x:v>
      </x:c>
      <x:c r="E10" s="28"/>
      <x:c r="F10" s="28" t="n">
        <x:v>40</x:v>
      </x:c>
      <x:c r="G10" s="28" t="n">
        <x:f>IF(ISNUMBER(E10),E10,F10)</x:f>
        <x:v>40</x:v>
      </x:c>
      <x:c r="H10" s="28" t="n">
        <x:f>D10+G10</x:f>
        <x:v>191.73</x:v>
      </x:c>
      <x:c r="I10" s="21" t="str">
        <x:v>Quote required</x:v>
      </x:c>
      <x:c r="J10" s="21" t="str">
        <x:v>1200 mm standard extrusion; actual parcel shipping at checkout.</x:v>
      </x:c>
    </x:row>
    <x:row r="11" ht="58" customHeight="1">
      <x:c r="A11" s="21" t="str">
        <x:v>Carr Lane</x:v>
      </x:c>
      <x:c r="B11" s="21" t="str">
        <x:v>Common</x:v>
      </x:c>
      <x:c r="C11" s="21" t="str">
        <x:v>Carr Lane or distributor</x:v>
      </x:c>
      <x:c r="D11" s="28" t="n">
        <x:f>SUMIFS(Parts!$I$6:$I$92,Parts!$J$6:$J$92,A11)</x:f>
        <x:v>318.91999999999996</x:v>
      </x:c>
      <x:c r="E11" s="28"/>
      <x:c r="F11" s="28" t="n">
        <x:v>30</x:v>
      </x:c>
      <x:c r="G11" s="28" t="n">
        <x:f>IF(ISNUMBER(E11),E11,F11)</x:f>
        <x:v>30</x:v>
      </x:c>
      <x:c r="H11" s="28" t="n">
        <x:f>D11+G11</x:f>
        <x:v>348.91999999999996</x:v>
      </x:c>
      <x:c r="I11" s="21" t="str">
        <x:v>Quote required</x:v>
      </x:c>
      <x:c r="J11" s="21" t="str">
        <x:v>Consolidated feet/pins order; stock and shipment terms pending.</x:v>
      </x:c>
    </x:row>
    <x:row r="12" ht="58" customHeight="1">
      <x:c r="A12" s="21" t="str">
        <x:v>BIQU</x:v>
      </x:c>
      <x:c r="B12" s="21" t="str">
        <x:v>Common</x:v>
      </x:c>
      <x:c r="C12" s="21" t="str">
        <x:v>BIQU official store</x:v>
      </x:c>
      <x:c r="D12" s="28" t="n">
        <x:f>SUMIFS(Parts!$I$6:$I$92,Parts!$J$6:$J$92,A12)</x:f>
        <x:v>158.97</x:v>
      </x:c>
      <x:c r="E12" s="28"/>
      <x:c r="F12" s="28" t="n">
        <x:v>25</x:v>
      </x:c>
      <x:c r="G12" s="28" t="n">
        <x:f>IF(ISNUMBER(E12),E12,F12)</x:f>
        <x:v>25</x:v>
      </x:c>
      <x:c r="H12" s="28" t="n">
        <x:f>D12+G12</x:f>
        <x:v>183.97</x:v>
      </x:c>
      <x:c r="I12" s="21" t="str">
        <x:v>Advertised free; unverified</x:v>
      </x:c>
      <x:c r="J12" s="21" t="str">
        <x:v>Kraken+Pi4B: store advertises free shipping $59+, but Alto checkout is unverified. Reserve retained pending destination quote.</x:v>
      </x:c>
    </x:row>
    <x:row r="13" ht="58" customHeight="1">
      <x:c r="A13" s="21" t="str">
        <x:v>Amazon screenshot</x:v>
      </x:c>
      <x:c r="B13" s="21" t="str">
        <x:v>Common</x:v>
      </x:c>
      <x:c r="C13" s="21" t="str">
        <x:v>User Amazon cart, CB1</x:v>
      </x:c>
      <x:c r="D13" s="28" t="n">
        <x:f>SUMIFS(Parts!$I$6:$I$92,Parts!$J$6:$J$92,A13)</x:f>
        <x:v>32.99</x:v>
      </x:c>
      <x:c r="E13" s="28"/>
      <x:c r="F13" s="28" t="n">
        <x:v>10</x:v>
      </x:c>
      <x:c r="G13" s="28" t="n">
        <x:f>IF(ISNUMBER(E13),E13,F13)</x:f>
        <x:v>10</x:v>
      </x:c>
      <x:c r="H13" s="28" t="n">
        <x:f>D13+G13</x:f>
        <x:v>42.99</x:v>
      </x:c>
      <x:c r="I13" s="21" t="str">
        <x:v>Screenshot Prime badge</x:v>
      </x:c>
      <x:c r="J13" s="21" t="str">
        <x:v>CB1 price and Prime free shipping are shown by user; exact ASIN/destination not visible. Reserve pending checkout confirmation.</x:v>
      </x:c>
    </x:row>
    <x:row r="14" ht="58" customHeight="1">
      <x:c r="A14" s="21" t="str">
        <x:v>Manta alternative</x:v>
      </x:c>
      <x:c r="B14" s="21" t="str">
        <x:v>Alternative</x:v>
      </x:c>
      <x:c r="C14" s="21" t="str">
        <x:v>Amazon screenshot + BIQU</x:v>
      </x:c>
      <x:c r="D14" s="28" t="n">
        <x:f>SUMIFS(Parts!$I$6:$I$92,Parts!$J$6:$J$92,A14)</x:f>
        <x:v>126.83000000000001</x:v>
      </x:c>
      <x:c r="E14" s="28"/>
      <x:c r="F14" s="28" t="n">
        <x:v>0</x:v>
      </x:c>
      <x:c r="G14" s="28" t="n">
        <x:f>IF(ISNUMBER(E14),E14,F14)</x:f>
        <x:v>0</x:v>
      </x:c>
      <x:c r="H14" s="28" t="n">
        <x:f>D14+G14</x:f>
        <x:v>126.83000000000001</x:v>
      </x:c>
      <x:c r="I14" s="21" t="str">
        <x:v>Excluded alternative</x:v>
      </x:c>
      <x:c r="J14" s="21" t="str">
        <x:v>Parts C01-C02 are mutually exclusive with Kraken/carrier. Shipping for this alternate is unquoted; zero reserve here is not free delivery.</x:v>
      </x:c>
    </x:row>
    <x:row r="15" ht="58" customHeight="1">
      <x:c r="A15" s="21" t="str">
        <x:v>Air fabrication</x:v>
      </x:c>
      <x:c r="B15" s="21" t="str">
        <x:v>Air option</x:v>
      </x:c>
      <x:c r="C15" s="21" t="str">
        <x:v>Pressure-chamber fabricator</x:v>
      </x:c>
      <x:c r="D15" s="28" t="n">
        <x:f>SUMIFS(Parts!$I$6:$I$92,Parts!$J$6:$J$92,A15)</x:f>
        <x:v>700</x:v>
      </x:c>
      <x:c r="E15" s="28"/>
      <x:c r="F15" s="28" t="n">
        <x:v>100</x:v>
      </x:c>
      <x:c r="G15" s="28" t="n">
        <x:f>IF(ISNUMBER(E15),E15,F15)</x:f>
        <x:v>100</x:v>
      </x:c>
      <x:c r="H15" s="28" t="n">
        <x:f>D15+G15</x:f>
        <x:v>800</x:v>
      </x:c>
      <x:c r="I15" s="21" t="str">
        <x:v>Quote required</x:v>
      </x:c>
      <x:c r="J15" s="21" t="str">
        <x:v>Separate pressure-qualified fabrication/fit quote. Not part of the vented-reservoir quote.</x:v>
      </x:c>
    </x:row>
    <x:row r="16" ht="58" customHeight="1">
      <x:c r="A16" s="21" t="str">
        <x:v>Air components</x:v>
      </x:c>
      <x:c r="B16" s="21" t="str">
        <x:v>Air option</x:v>
      </x:c>
      <x:c r="C16" s="21" t="str">
        <x:v>Amazon first, exact parts pending</x:v>
      </x:c>
      <x:c r="D16" s="28" t="n">
        <x:f>SUMIFS(Parts!$I$6:$I$92,Parts!$J$6:$J$92,A16)</x:f>
        <x:v>285</x:v>
      </x:c>
      <x:c r="E16" s="28"/>
      <x:c r="F16" s="28" t="n">
        <x:v>35</x:v>
      </x:c>
      <x:c r="G16" s="28" t="n">
        <x:f>IF(ISNUMBER(E16),E16,F16)</x:f>
        <x:v>35</x:v>
      </x:c>
      <x:c r="H16" s="28" t="n">
        <x:f>D16+G16</x:f>
        <x:v>320</x:v>
      </x:c>
      <x:c r="I16" s="21" t="str">
        <x:v>Allowance</x:v>
      </x:c>
      <x:c r="J16" s="21" t="str">
        <x:v>Regulator/relief, restrictor and any replacement valves. Existing parts have no new freight.</x:v>
      </x:c>
    </x:row>
    <x:row r="17" ht="58" customHeight="1">
      <x:c r="A17" s="21" t="str">
        <x:v>Pump fabrication</x:v>
      </x:c>
      <x:c r="B17" s="21" t="str">
        <x:v>Pump option</x:v>
      </x:c>
      <x:c r="C17" s="21" t="str">
        <x:v>Vented tank fabricator</x:v>
      </x:c>
      <x:c r="D17" s="28" t="n">
        <x:f>SUMIFS(Parts!$I$6:$I$92,Parts!$J$6:$J$92,A17)</x:f>
        <x:v>350</x:v>
      </x:c>
      <x:c r="E17" s="28"/>
      <x:c r="F17" s="28" t="n">
        <x:v>80</x:v>
      </x:c>
      <x:c r="G17" s="28" t="n">
        <x:f>IF(ISNUMBER(E17),E17,F17)</x:f>
        <x:v>80</x:v>
      </x:c>
      <x:c r="H17" s="28" t="n">
        <x:f>D17+G17</x:f>
        <x:v>430</x:v>
      </x:c>
      <x:c r="I17" s="21" t="str">
        <x:v>Quote required</x:v>
      </x:c>
      <x:c r="J17" s="21" t="str">
        <x:v>Tank freight reserve; not delivery promise.</x:v>
      </x:c>
    </x:row>
    <x:row r="18" ht="58" customHeight="1">
      <x:c r="A18" s="21" t="str">
        <x:v>US Solid</x:v>
      </x:c>
      <x:c r="B18" s="21" t="str">
        <x:v>Pump option</x:v>
      </x:c>
      <x:c r="C18" s="21" t="str">
        <x:v>U.S. Solid direct</x:v>
      </x:c>
      <x:c r="D18" s="28" t="n">
        <x:f>SUMIFS(Parts!$I$6:$I$92,Parts!$J$6:$J$92,A18)</x:f>
        <x:v>207.99</x:v>
      </x:c>
      <x:c r="E18" s="28"/>
      <x:c r="F18" s="28" t="n">
        <x:v>20</x:v>
      </x:c>
      <x:c r="G18" s="28" t="n">
        <x:f>IF(ISNUMBER(E18),E18,F18)</x:f>
        <x:v>20</x:v>
      </x:c>
      <x:c r="H18" s="28" t="n">
        <x:f>D18+G18</x:f>
        <x:v>227.99</x:v>
      </x:c>
      <x:c r="I18" s="21" t="str">
        <x:v>Quote required</x:v>
      </x:c>
      <x:c r="J18" s="21" t="str">
        <x:v>Shipping amount not verified. Do not assume a free-shipping badge applies.</x:v>
      </x:c>
    </x:row>
    <x:row r="19" ht="58" customHeight="1">
      <x:c r="A19" s="21" t="str">
        <x:v>Neobits</x:v>
      </x:c>
      <x:c r="B19" s="21" t="str">
        <x:v>Pump option</x:v>
      </x:c>
      <x:c r="C19" s="21" t="str">
        <x:v>Neobits BP2054 pump</x:v>
      </x:c>
      <x:c r="D19" s="28" t="n">
        <x:f>SUMIFS(Parts!$I$6:$I$92,Parts!$J$6:$J$92,A19)</x:f>
        <x:v>204.19</x:v>
      </x:c>
      <x:c r="E19" s="28"/>
      <x:c r="F19" s="28" t="n">
        <x:v>25</x:v>
      </x:c>
      <x:c r="G19" s="28" t="n">
        <x:f>IF(ISNUMBER(E19),E19,F19)</x:f>
        <x:v>25</x:v>
      </x:c>
      <x:c r="H19" s="28" t="n">
        <x:f>D19+G19</x:f>
        <x:v>229.19</x:v>
      </x:c>
      <x:c r="I19" s="21" t="str">
        <x:v>Quote required</x:v>
      </x:c>
      <x:c r="J19" s="21" t="str">
        <x:v>Stock and shipping require checkout.</x:v>
      </x:c>
    </x:row>
    <x:row r="20" ht="58" customHeight="1">
      <x:c r="A20" s="21" t="str">
        <x:v>Pump components</x:v>
      </x:c>
      <x:c r="B20" s="21" t="str">
        <x:v>Pump option</x:v>
      </x:c>
      <x:c r="C20" s="21" t="str">
        <x:v>Amazon first</x:v>
      </x:c>
      <x:c r="D20" s="28" t="n">
        <x:f>SUMIFS(Parts!$I$6:$I$92,Parts!$J$6:$J$92,A20)</x:f>
        <x:v>65</x:v>
      </x:c>
      <x:c r="E20" s="28"/>
      <x:c r="F20" s="28" t="n">
        <x:v>15</x:v>
      </x:c>
      <x:c r="G20" s="28" t="n">
        <x:f>IF(ISNUMBER(E20),E20,F20)</x:f>
        <x:v>15</x:v>
      </x:c>
      <x:c r="H20" s="28" t="n">
        <x:f>D20+G20</x:f>
        <x:v>80</x:v>
      </x:c>
      <x:c r="I20" s="21" t="str">
        <x:v>Allowance</x:v>
      </x:c>
      <x:c r="J20" s="21" t="str">
        <x:v>Pump hose/fittings shipping reserve.</x:v>
      </x:c>
    </x:row>
    <x:row r="21" ht="58" customHeight="1">
      <x:c r="A21" s="21" t="str">
        <x:v>Optional Bestarc</x:v>
      </x:c>
      <x:c r="B21" s="21" t="str">
        <x:v>Optional</x:v>
      </x:c>
      <x:c r="C21" s="21" t="str">
        <x:v>Bestarc direct</x:v>
      </x:c>
      <x:c r="D21" s="28" t="n">
        <x:f>SUMIFS(Parts!$I$6:$I$92,Parts!$J$6:$J$92,A21)</x:f>
        <x:v>558.99</x:v>
      </x:c>
      <x:c r="E21" s="28"/>
      <x:c r="F21" s="28" t="n">
        <x:v>30</x:v>
      </x:c>
      <x:c r="G21" s="28" t="n">
        <x:f>IF(ISNUMBER(E21),E21,F21)</x:f>
        <x:v>30</x:v>
      </x:c>
      <x:c r="H21" s="28" t="n">
        <x:f>D21+G21</x:f>
        <x:v>588.99</x:v>
      </x:c>
      <x:c r="I21" s="21" t="str">
        <x:v>Advertised free; unverified</x:v>
      </x:c>
      <x:c r="J21" s="21" t="str">
        <x:v>Free shipping advertised but not destination-validated; retain reserve until checkout.</x:v>
      </x:c>
    </x:row>
    <x:row r="22" ht="58" customHeight="1">
      <x:c r="A22" s="21" t="str">
        <x:v>Optional equipment</x:v>
      </x:c>
      <x:c r="B22" s="21" t="str">
        <x:v>Optional</x:v>
      </x:c>
      <x:c r="C22" s="21" t="str">
        <x:v>Unselected shop suppliers</x:v>
      </x:c>
      <x:c r="D22" s="28" t="n">
        <x:f>SUMIFS(Parts!$I$6:$I$92,Parts!$J$6:$J$92,A22)</x:f>
        <x:v>600</x:v>
      </x:c>
      <x:c r="E22" s="28"/>
      <x:c r="F22" s="28" t="n">
        <x:v>100</x:v>
      </x:c>
      <x:c r="G22" s="28" t="n">
        <x:f>IF(ISNUMBER(E22),E22,F22)</x:f>
        <x:v>100</x:v>
      </x:c>
      <x:c r="H22" s="28" t="n">
        <x:f>D22+G22</x:f>
        <x:v>700</x:v>
      </x:c>
      <x:c r="I22" s="21" t="str">
        <x:v>Allowance</x:v>
      </x:c>
      <x:c r="J22" s="21" t="str">
        <x:v>Dust/fume equipment and air treatment: exact basket unknown. Separate host PC quantity is zero.</x:v>
      </x:c>
    </x:row>
    <x:row r="23" ht="58" customHeight="1">
      <x:c r="A23" s="21" t="str">
        <x:v>None</x:v>
      </x:c>
      <x:c r="B23" s="21" t="str">
        <x:v>Owned</x:v>
      </x:c>
      <x:c r="C23" s="21" t="str">
        <x:v>Already owned / free software</x:v>
      </x:c>
      <x:c r="D23" s="28" t="n">
        <x:f>SUMIFS(Parts!$I$6:$I$92,Parts!$J$6:$J$92,A23)</x:f>
        <x:v>0</x:v>
      </x:c>
      <x:c r="E23" s="28" t="n">
        <x:v>0</x:v>
      </x:c>
      <x:c r="F23" s="28"/>
      <x:c r="G23" s="28" t="n">
        <x:f>IF(ISNUMBER(E23),E23,F23)</x:f>
        <x:v>0</x:v>
      </x:c>
      <x:c r="H23" s="28" t="n">
        <x:f>D23+G23</x:f>
        <x:v>0</x:v>
      </x:c>
      <x:c r="I23" s="21" t="str">
        <x:v>No shipment</x:v>
      </x:c>
      <x:c r="J23" s="21" t="str">
        <x:v>Owned equipment is not a new purchase.</x:v>
      </x:c>
    </x:row>
  </x:sheetData>
  <x:conditionalFormatting sqref="E6:E23">
    <x:cfRule type="expression" dxfId="2" priority="1">
      <x:formula>NOT(ISNUMBER(E6))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c2da6a0201f46c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.5" hidden="0" customWidth="1"/>
    <x:col min="2" max="2" width="55" hidden="0" customWidth="1"/>
    <x:col min="3" max="3" width="7.5" hidden="0" customWidth="1"/>
    <x:col min="4" max="4" width="11.880000114440918" hidden="0" customWidth="1"/>
    <x:col min="5" max="5" width="13.130000114440918" hidden="0" customWidth="1"/>
    <x:col min="6" max="6" width="19.3799991607666" hidden="0" customWidth="1"/>
    <x:col min="7" max="7" width="58.75" hidden="0" customWidth="1"/>
    <x:col min="8" max="8" width="72.5" hidden="0" customWidth="1"/>
  </x:cols>
  <x:sheetData>
    <x:row r="1" ht="24" customHeight="1">
      <x:c r="A1" s="7"/>
      <x:c r="B1" s="7"/>
      <x:c r="C1" s="7"/>
      <x:c r="D1" s="7"/>
      <x:c r="E1" s="7"/>
      <x:c r="F1" s="7"/>
      <x:c r="G1" s="7"/>
      <x:c r="H1" s="7"/>
    </x:row>
    <x:row r="2" ht="32" customHeight="1">
      <x:c r="A2" s="9" t="str">
        <x:v>Metal cut list and competing price references</x:v>
      </x:c>
      <x:c r="B2" s="7"/>
      <x:c r="C2" s="7"/>
      <x:c r="D2" s="7"/>
      <x:c r="E2" s="7"/>
      <x:c r="F2" s="7"/>
      <x:c r="G2" s="7"/>
      <x:c r="H2" s="7"/>
    </x:row>
    <x:row r="3" ht="24" customHeight="1">
      <x:c r="A3" s="10" t="str">
        <x:v>Request one consolidated local quote. Comparison rows below are alternatives; do not add them to the Parts total.</x:v>
      </x:c>
      <x:c r="B3" s="7"/>
      <x:c r="C3" s="7"/>
      <x:c r="D3" s="7"/>
      <x:c r="E3" s="7"/>
      <x:c r="F3" s="7"/>
      <x:c r="G3" s="7"/>
      <x:c r="H3" s="7"/>
    </x:row>
    <x:row r="4" ht="24" customHeight="1">
      <x:c r="A4" s="7"/>
      <x:c r="B4" s="7"/>
      <x:c r="C4" s="7"/>
      <x:c r="D4" s="7"/>
      <x:c r="E4" s="7"/>
      <x:c r="F4" s="7"/>
      <x:c r="G4" s="7"/>
      <x:c r="H4" s="7"/>
    </x:row>
    <x:row r="5" ht="32" customHeight="1">
      <x:c r="A5" s="16" t="str">
        <x:v>Part</x:v>
      </x:c>
      <x:c r="B5" s="16" t="str">
        <x:v>Material / blank size</x:v>
      </x:c>
      <x:c r="C5" s="16" t="str">
        <x:v>Qty</x:v>
      </x:c>
      <x:c r="D5" s="16" t="str">
        <x:v>Cut mm</x:v>
      </x:c>
      <x:c r="E5" s="16" t="str">
        <x:v>Net mm</x:v>
      </x:c>
      <x:c r="F5" s="16" t="str">
        <x:v>Unit</x:v>
      </x:c>
      <x:c r="G5" s="16" t="str">
        <x:v>Fabrication note</x:v>
      </x:c>
      <x:c r="H5" s="7"/>
    </x:row>
    <x:row r="6" ht="42" customHeight="1">
      <x:c r="A6" s="7" t="str">
        <x:v>Top Y supports</x:v>
      </x:c>
      <x:c r="B6" s="21" t="str">
        <x:v>2 x 2 x .120 steel tube</x:v>
      </x:c>
      <x:c r="C6" s="31" t="n">
        <x:v>2</x:v>
      </x:c>
      <x:c r="D6" s="7" t="n">
        <x:v>1450</x:v>
      </x:c>
      <x:c r="E6" s="7" t="n">
        <x:f>C6*D6</x:f>
        <x:v>2900</x:v>
      </x:c>
      <x:c r="F6" s="31" t="str">
        <x:v>mm</x:v>
      </x:c>
      <x:c r="G6" s="21" t="str">
        <x:v>Fixed frame</x:v>
      </x:c>
      <x:c r="H6" s="7"/>
    </x:row>
    <x:row r="7" ht="42" customHeight="1">
      <x:c r="A7" s="7" t="str">
        <x:v>Receiver ledgers</x:v>
      </x:c>
      <x:c r="B7" s="21" t="str">
        <x:v>2 x 2 x .120 steel tube</x:v>
      </x:c>
      <x:c r="C7" s="31" t="n">
        <x:v>2</x:v>
      </x:c>
      <x:c r="D7" s="7" t="n">
        <x:v>1450</x:v>
      </x:c>
      <x:c r="E7" s="7" t="n">
        <x:f>C7*D7</x:f>
        <x:v>2900</x:v>
      </x:c>
      <x:c r="F7" s="31" t="str">
        <x:v>mm</x:v>
      </x:c>
      <x:c r="G7" s="21" t="str">
        <x:v>Fixed frame</x:v>
      </x:c>
      <x:c r="H7" s="7"/>
    </x:row>
    <x:row r="8" ht="42" customHeight="1">
      <x:c r="A8" s="7" t="str">
        <x:v>Legs</x:v>
      </x:c>
      <x:c r="B8" s="21" t="str">
        <x:v>2 x 2 x .120 steel tube</x:v>
      </x:c>
      <x:c r="C8" s="31" t="n">
        <x:v>6</x:v>
      </x:c>
      <x:c r="D8" s="7" t="n">
        <x:v>949.2</x:v>
      </x:c>
      <x:c r="E8" s="7" t="n">
        <x:f>C8*D8</x:f>
        <x:v>5695.200000000001</x:v>
      </x:c>
      <x:c r="F8" s="31" t="str">
        <x:v>mm</x:v>
      </x:c>
      <x:c r="G8" s="21" t="str">
        <x:v>Fixed frame</x:v>
      </x:c>
      <x:c r="H8" s="7"/>
    </x:row>
    <x:row r="9" ht="42" customHeight="1">
      <x:c r="A9" s="7" t="str">
        <x:v>Lower side ties</x:v>
      </x:c>
      <x:c r="B9" s="21" t="str">
        <x:v>2 x 2 x .120 steel tube</x:v>
      </x:c>
      <x:c r="C9" s="31" t="n">
        <x:v>4</x:v>
      </x:c>
      <x:c r="D9" s="7" t="n">
        <x:v>648.8</x:v>
      </x:c>
      <x:c r="E9" s="7" t="n">
        <x:f>C9*D9</x:f>
        <x:v>2595.2</x:v>
      </x:c>
      <x:c r="F9" s="31" t="str">
        <x:v>mm</x:v>
      </x:c>
      <x:c r="G9" s="21" t="str">
        <x:v>Fixed frame</x:v>
      </x:c>
      <x:c r="H9" s="7"/>
    </x:row>
    <x:row r="10" ht="42" customHeight="1">
      <x:c r="A10" s="7" t="str">
        <x:v>End ties</x:v>
      </x:c>
      <x:c r="B10" s="21" t="str">
        <x:v>2 x 2 x .120 steel tube</x:v>
      </x:c>
      <x:c r="C10" s="31" t="n">
        <x:v>4</x:v>
      </x:c>
      <x:c r="D10" s="7" t="n">
        <x:v>1048.4</x:v>
      </x:c>
      <x:c r="E10" s="7" t="n">
        <x:f>C10*D10</x:f>
        <x:v>4193.6</x:v>
      </x:c>
      <x:c r="F10" s="31" t="str">
        <x:v>mm</x:v>
      </x:c>
      <x:c r="G10" s="21" t="str">
        <x:v>Fixed frame</x:v>
      </x:c>
      <x:c r="H10" s="7"/>
    </x:row>
    <x:row r="11" ht="42" customHeight="1">
      <x:c r="A11" s="7" t="str">
        <x:v>Pan bearer tubes</x:v>
      </x:c>
      <x:c r="B11" s="21" t="str">
        <x:v>2 x 2 x .120 steel tube</x:v>
      </x:c>
      <x:c r="C11" s="31" t="n">
        <x:v>3</x:v>
      </x:c>
      <x:c r="D11" s="7" t="n">
        <x:v>1032.4</x:v>
      </x:c>
      <x:c r="E11" s="7" t="n">
        <x:f>C11*D11</x:f>
        <x:v>3097.2000000000003</x:v>
      </x:c>
      <x:c r="F11" s="31" t="str">
        <x:v>mm</x:v>
      </x:c>
      <x:c r="G11" s="21" t="str">
        <x:v>Before end plates/fit clearance</x:v>
      </x:c>
      <x:c r="H11" s="7"/>
    </x:row>
    <x:row r="12" ht="42" customHeight="1">
      <x:c r="A12" s="7" t="str">
        <x:v>Paired bridge blanks</x:v>
      </x:c>
      <x:c r="B12" s="21" t="str">
        <x:v>2 x 2 x .120 steel tube</x:v>
      </x:c>
      <x:c r="C12" s="31" t="n">
        <x:v>8</x:v>
      </x:c>
      <x:c r="D12" s="7" t="n">
        <x:v>1032</x:v>
      </x:c>
      <x:c r="E12" s="7" t="n">
        <x:f>C12*D12</x:f>
        <x:v>8256</x:v>
      </x:c>
      <x:c r="F12" s="31" t="str">
        <x:v>mm</x:v>
      </x:c>
      <x:c r="G12" s="21" t="str">
        <x:v>8 blanks make 4 beam assemblies</x:v>
      </x:c>
      <x:c r="H12" s="7"/>
    </x:row>
    <x:row r="13" ht="42" customHeight="1">
      <x:c r="A13" s="7" t="str">
        <x:v>Panel long members</x:v>
      </x:c>
      <x:c r="B13" s="21" t="str">
        <x:v>1 x 1 x .083 steel tube</x:v>
      </x:c>
      <x:c r="C13" s="31" t="n">
        <x:v>12</x:v>
      </x:c>
      <x:c r="D13" s="7" t="n">
        <x:v>497</x:v>
      </x:c>
      <x:c r="E13" s="7" t="n">
        <x:f>C13*D13</x:f>
        <x:v>5964</x:v>
      </x:c>
      <x:c r="F13" s="31" t="str">
        <x:v>mm</x:v>
      </x:c>
      <x:c r="G13" s="21" t="str">
        <x:v>US-stock procurement adjustment</x:v>
      </x:c>
      <x:c r="H13" s="7"/>
    </x:row>
    <x:row r="14" ht="42" customHeight="1">
      <x:c r="A14" s="7" t="str">
        <x:v>Panel inner members</x:v>
      </x:c>
      <x:c r="B14" s="21" t="str">
        <x:v>1 x 1 x .083 steel tube</x:v>
      </x:c>
      <x:c r="C14" s="31" t="n">
        <x:v>18</x:v>
      </x:c>
      <x:c r="D14" s="7" t="n">
        <x:v>346.2</x:v>
      </x:c>
      <x:c r="E14" s="7" t="n">
        <x:f>C14*D14</x:f>
        <x:v>6231.599999999999</x:v>
      </x:c>
      <x:c r="F14" s="31" t="str">
        <x:v>mm</x:v>
      </x:c>
      <x:c r="G14" s="21" t="str">
        <x:v>397 minus 2 x 25.4; replaces 347 mm</x:v>
      </x:c>
      <x:c r="H14" s="7"/>
    </x:row>
    <x:row r="15" ht="42" customHeight="1">
      <x:c r="A15" s="7" t="str">
        <x:v>Front side braces</x:v>
      </x:c>
      <x:c r="B15" s="21" t="str">
        <x:v>1-1/4 x 1-1/4 x 1/8 angle</x:v>
      </x:c>
      <x:c r="C15" s="31" t="n">
        <x:v>2</x:v>
      </x:c>
      <x:c r="D15" s="7" t="n">
        <x:v>907.331</x:v>
      </x:c>
      <x:c r="E15" s="7" t="n">
        <x:f>C15*D15</x:f>
        <x:v>1814.662</x:v>
      </x:c>
      <x:c r="F15" s="31" t="str">
        <x:v>mm</x:v>
      </x:c>
      <x:c r="G15" s="21" t="str">
        <x:v>Centerline only; final miters/ends pending</x:v>
      </x:c>
      <x:c r="H15" s="7"/>
    </x:row>
    <x:row r="16" ht="42" customHeight="1">
      <x:c r="A16" s="7" t="str">
        <x:v>Rear side braces</x:v>
      </x:c>
      <x:c r="B16" s="21" t="str">
        <x:v>1-1/4 x 1-1/4 x 1/8 angle</x:v>
      </x:c>
      <x:c r="C16" s="31" t="n">
        <x:v>2</x:v>
      </x:c>
      <x:c r="D16" s="7" t="n">
        <x:v>904.06</x:v>
      </x:c>
      <x:c r="E16" s="7" t="n">
        <x:f>C16*D16</x:f>
        <x:v>1808.12</x:v>
      </x:c>
      <x:c r="F16" s="31" t="str">
        <x:v>mm</x:v>
      </x:c>
      <x:c r="G16" s="21" t="str">
        <x:v>Centerline only; final miters/ends pending</x:v>
      </x:c>
      <x:c r="H16" s="7"/>
    </x:row>
    <x:row r="17" ht="42" customHeight="1">
      <x:c r="A17" s="7" t="str">
        <x:v>Rear brace</x:v>
      </x:c>
      <x:c r="B17" s="21" t="str">
        <x:v>1-1/4 x 1-1/4 x 1/8 angle</x:v>
      </x:c>
      <x:c r="C17" s="31" t="n">
        <x:v>1</x:v>
      </x:c>
      <x:c r="D17" s="7" t="n">
        <x:v>1206.493</x:v>
      </x:c>
      <x:c r="E17" s="7" t="n">
        <x:f>C17*D17</x:f>
        <x:v>1206.493</x:v>
      </x:c>
      <x:c r="F17" s="31" t="str">
        <x:v>mm</x:v>
      </x:c>
      <x:c r="G17" s="21" t="str">
        <x:v>Centerline only; final miters/ends pending</x:v>
      </x:c>
      <x:c r="H17" s="7"/>
    </x:row>
    <x:row r="18" ht="42" customHeight="1">
      <x:c r="A18" s="7" t="str">
        <x:v>Rail cap plates</x:v>
      </x:c>
      <x:c r="B18" s="21" t="str">
        <x:v>Steel, 1450 x 100 x 7.9375 mm</x:v>
      </x:c>
      <x:c r="C18" s="31" t="n">
        <x:v>2</x:v>
      </x:c>
      <x:c r="D18" s="7"/>
      <x:c r="E18" s="7"/>
      <x:c r="F18" s="31" t="str">
        <x:v>blank</x:v>
      </x:c>
      <x:c r="G18" s="21" t="str">
        <x:v>Measured thickness and final rail datum matter</x:v>
      </x:c>
      <x:c r="H18" s="7"/>
    </x:row>
    <x:row r="19" ht="42" customHeight="1">
      <x:c r="A19" s="7" t="str">
        <x:v>Al deck plates</x:v>
      </x:c>
      <x:c r="B19" s="21" t="str">
        <x:v>6061-T651, 497 x 397 x 7.9375 mm</x:v>
      </x:c>
      <x:c r="C19" s="31" t="n">
        <x:v>6</x:v>
      </x:c>
      <x:c r="D19" s="7"/>
      <x:c r="E19" s="7"/>
      <x:c r="F19" s="31" t="str">
        <x:v>blank</x:v>
      </x:c>
      <x:c r="G19" s="21" t="str">
        <x:v>One 48 x 48-inch plate; 2 x 3 nesting</x:v>
      </x:c>
      <x:c r="H19" s="7"/>
    </x:row>
    <x:row r="20" ht="42" customHeight="1">
      <x:c r="A20" s="7" t="str">
        <x:v>MDF panels</x:v>
      </x:c>
      <x:c r="B20" s="21" t="str">
        <x:v>497 x 397 x nominal19.05 mm</x:v>
      </x:c>
      <x:c r="C20" s="31" t="n">
        <x:v>6</x:v>
      </x:c>
      <x:c r="D20" s="7"/>
      <x:c r="E20" s="7"/>
      <x:c r="F20" s="31" t="str">
        <x:v>blank</x:v>
      </x:c>
      <x:c r="G20" s="21" t="str">
        <x:v>Measure then surface in position</x:v>
      </x:c>
      <x:c r="H20" s="7"/>
    </x:row>
    <x:row r="21" ht="42" customHeight="1">
      <x:c r="A21" s="7" t="str">
        <x:v>Beam diaphragms</x:v>
      </x:c>
      <x:c r="B21" s="21" t="str">
        <x:v>101.6 x 50.8 x 6 mm steel</x:v>
      </x:c>
      <x:c r="C21" s="31" t="n">
        <x:v>8</x:v>
      </x:c>
      <x:c r="D21" s="7"/>
      <x:c r="E21" s="7"/>
      <x:c r="F21" s="31" t="str">
        <x:v>blank</x:v>
      </x:c>
      <x:c r="G21" s="21" t="str">
        <x:v>Keep exact6 mm or shorten tube if using1/4-inch plates</x:v>
      </x:c>
      <x:c r="H21" s="7"/>
    </x:row>
    <x:row r="22" ht="42" customHeight="1">
      <x:c r="A22" s="7" t="str">
        <x:v>Foot plates</x:v>
      </x:c>
      <x:c r="B22" s="21" t="str">
        <x:v>80 x 80 x 12 mm steel</x:v>
      </x:c>
      <x:c r="C22" s="31" t="n">
        <x:v>6</x:v>
      </x:c>
      <x:c r="D22" s="7"/>
      <x:c r="E22" s="7"/>
      <x:c r="F22" s="31" t="str">
        <x:v>blank</x:v>
      </x:c>
      <x:c r="G22" s="21" t="str">
        <x:v>Foot hardware and thickness substitutions need detail</x:v>
      </x:c>
      <x:c r="H22" s="7"/>
    </x:row>
    <x:row r="23" ht="42" customHeight="1">
      <x:c r="A23" s="7" t="str">
        <x:v>Slats</x:v>
      </x:c>
      <x:c r="B23" s="21" t="str">
        <x:v>880 x 75 x approximately3 mm steel</x:v>
      </x:c>
      <x:c r="C23" s="31" t="n">
        <x:v>19</x:v>
      </x:c>
      <x:c r="D23" s="7"/>
      <x:c r="E23" s="7"/>
      <x:c r="F23" s="31" t="str">
        <x:v>blank</x:v>
      </x:c>
      <x:c r="G23" s="21" t="str">
        <x:v>Measure sheet gauge; adjust comb-slot clearance</x:v>
      </x:c>
      <x:c r="H23" s="7"/>
    </x:row>
    <x:row r="24" ht="42" customHeight="1">
      <x:c r="A24" s="7" t="str">
        <x:v>Pan</x:v>
      </x:c>
      <x:c r="B24" s="21" t="str">
        <x:v>920 x 1200 x100 outside, sloped floor</x:v>
      </x:c>
      <x:c r="C24" s="31" t="n">
        <x:v>1</x:v>
      </x:c>
      <x:c r="D24" s="7"/>
      <x:c r="E24" s="7"/>
      <x:c r="F24" s="31" t="str">
        <x:v>assembly</x:v>
      </x:c>
      <x:c r="G24" s="21" t="str">
        <x:v>About1% slope, cleanout and leak test; no brake pattern released</x:v>
      </x:c>
      <x:c r="H24" s="7"/>
    </x:row>
    <x:row r="25" ht="42" customHeight="1">
      <x:c r="A25" s="7" t="str">
        <x:v>Gantry beam</x:v>
      </x:c>
      <x:c r="B25" s="21" t="str">
        <x:v>80/20 standard40-8080</x:v>
      </x:c>
      <x:c r="C25" s="31" t="n">
        <x:v>1</x:v>
      </x:c>
      <x:c r="D25" s="7" t="n">
        <x:v>1200</x:v>
      </x:c>
      <x:c r="E25" s="7" t="n">
        <x:f>C25*D25</x:f>
        <x:v>1200</x:v>
      </x:c>
      <x:c r="F25" s="31" t="str">
        <x:v>mm</x:v>
      </x:c>
      <x:c r="G25" s="21" t="str">
        <x:v>Moving mass about7.64 kg for extrusion alone</x:v>
      </x:c>
      <x:c r="H25" s="7"/>
    </x:row>
    <x:row r="26" ht="42" customHeight="1">
      <x:c r="A26" s="7"/>
      <x:c r="B26" s="7"/>
      <x:c r="C26" s="7"/>
      <x:c r="D26" s="7"/>
      <x:c r="E26" s="7"/>
      <x:c r="F26" s="7"/>
      <x:c r="G26" s="21"/>
      <x:c r="H26" s="7"/>
    </x:row>
    <x:row r="27" ht="42" customHeight="1">
      <x:c r="A27" s="7"/>
      <x:c r="B27" s="7"/>
      <x:c r="C27" s="7"/>
      <x:c r="D27" s="7"/>
      <x:c r="E27" s="7"/>
      <x:c r="F27" s="7"/>
      <x:c r="G27" s="21"/>
      <x:c r="H27" s="7"/>
    </x:row>
    <x:row r="28" ht="42" customHeight="1">
      <x:c r="A28" s="7" t="str">
        <x:v>Five-bar nesting: 6096 mm stock; 3 mm kerf per part; 10 mm total trim per bar</x:v>
      </x:c>
      <x:c r="B28" s="7"/>
      <x:c r="C28" s="7"/>
      <x:c r="D28" s="7"/>
      <x:c r="E28" s="7"/>
      <x:c r="F28" s="7"/>
      <x:c r="G28" s="21"/>
      <x:c r="H28" s="7"/>
    </x:row>
    <x:row r="29" ht="42" customHeight="1">
      <x:c r="A29" s="7"/>
      <x:c r="B29" s="7"/>
      <x:c r="C29" s="7"/>
      <x:c r="D29" s="7"/>
      <x:c r="E29" s="7"/>
      <x:c r="F29" s="7"/>
      <x:c r="G29" s="21"/>
      <x:c r="H29" s="7"/>
    </x:row>
    <x:row r="30" ht="42" customHeight="1">
      <x:c r="A30" s="7" t="str">
        <x:v>Bar</x:v>
      </x:c>
      <x:c r="B30" s="7" t="str">
        <x:v>Finished cuts in mm</x:v>
      </x:c>
      <x:c r="C30" s="7" t="str">
        <x:v>Net mm</x:v>
      </x:c>
      <x:c r="D30" s="7" t="str">
        <x:v>Remainder mm</x:v>
      </x:c>
      <x:c r="E30" s="7"/>
      <x:c r="F30" s="7"/>
      <x:c r="G30" s="21"/>
      <x:c r="H30" s="7"/>
    </x:row>
    <x:row r="31" ht="42" customHeight="1">
      <x:c r="A31" s="7" t="n">
        <x:v>1</x:v>
      </x:c>
      <x:c r="B31" s="7" t="str">
        <x:v>1450 + 1450 + 1450 + 1450</x:v>
      </x:c>
      <x:c r="C31" s="7" t="n">
        <x:v>5800</x:v>
      </x:c>
      <x:c r="D31" s="7" t="n">
        <x:v>274</x:v>
      </x:c>
      <x:c r="E31" s="7"/>
      <x:c r="F31" s="7"/>
      <x:c r="G31" s="21"/>
      <x:c r="H31" s="7"/>
    </x:row>
    <x:row r="32" ht="42" customHeight="1">
      <x:c r="A32" s="7" t="n">
        <x:v>2</x:v>
      </x:c>
      <x:c r="B32" s="7" t="str">
        <x:v>1048.4 + 1048.4 + 1048.4 + 1048.4 + 1032.4 + 648.8</x:v>
      </x:c>
      <x:c r="C32" s="7" t="n">
        <x:v>5874.8</x:v>
      </x:c>
      <x:c r="D32" s="7" t="n">
        <x:v>193.2</x:v>
      </x:c>
      <x:c r="E32" s="7"/>
      <x:c r="F32" s="7"/>
      <x:c r="G32" s="21"/>
      <x:c r="H32" s="7"/>
    </x:row>
    <x:row r="33" ht="42" customHeight="1">
      <x:c r="A33" s="7" t="n">
        <x:v>3</x:v>
      </x:c>
      <x:c r="B33" s="7" t="str">
        <x:v>1032.4 + 1032.4 + 1032 + 1032 + 949.2 + 949.2</x:v>
      </x:c>
      <x:c r="C33" s="7" t="n">
        <x:v>6027.2</x:v>
      </x:c>
      <x:c r="D33" s="7" t="n">
        <x:v>40.8</x:v>
      </x:c>
      <x:c r="E33" s="7"/>
      <x:c r="F33" s="7"/>
      <x:c r="G33" s="21"/>
      <x:c r="H33" s="7"/>
    </x:row>
    <x:row r="34" ht="42" customHeight="1">
      <x:c r="A34" s="7" t="n">
        <x:v>4</x:v>
      </x:c>
      <x:c r="B34" s="7" t="str">
        <x:v>1032 + 1032 + 1032 + 1032 + 949.2 + 949.2</x:v>
      </x:c>
      <x:c r="C34" s="7" t="n">
        <x:v>6026.4</x:v>
      </x:c>
      <x:c r="D34" s="7" t="n">
        <x:v>41.6</x:v>
      </x:c>
      <x:c r="E34" s="7"/>
      <x:c r="F34" s="7"/>
      <x:c r="G34" s="21"/>
      <x:c r="H34" s="7"/>
    </x:row>
    <x:row r="35" ht="42" customHeight="1">
      <x:c r="A35" s="7" t="n">
        <x:v>5</x:v>
      </x:c>
      <x:c r="B35" s="7" t="str">
        <x:v>1032 + 1032 + 949.2 + 949.2 + 648.8 + 648.8 + 648.8</x:v>
      </x:c>
      <x:c r="C35" s="7" t="n">
        <x:v>5908.8</x:v>
      </x:c>
      <x:c r="D35" s="7" t="n">
        <x:v>156.2</x:v>
      </x:c>
      <x:c r="E35" s="7"/>
      <x:c r="F35" s="7"/>
      <x:c r="G35" s="21"/>
      <x:c r="H35" s="7"/>
    </x:row>
    <x:row r="36" ht="42" customHeight="1">
      <x:c r="A36" s="7"/>
      <x:c r="B36" s="7"/>
      <x:c r="C36" s="7"/>
      <x:c r="D36" s="7"/>
      <x:c r="E36" s="7"/>
      <x:c r="F36" s="7"/>
      <x:c r="G36" s="21"/>
      <x:c r="H36" s="7"/>
    </x:row>
    <x:row r="37" ht="42" customHeight="1">
      <x:c r="A37" s="7"/>
      <x:c r="B37" s="7"/>
      <x:c r="C37" s="7"/>
      <x:c r="D37" s="7"/>
      <x:c r="E37" s="7"/>
      <x:c r="F37" s="7"/>
      <x:c r="G37" s="21"/>
      <x:c r="H37" s="7"/>
    </x:row>
    <x:row r="38" ht="42" customHeight="1">
      <x:c r="A38" s="7" t="str">
        <x:v>US-stock adjustments</x:v>
      </x:c>
      <x:c r="B38" s="7"/>
      <x:c r="C38" s="7"/>
      <x:c r="D38" s="7"/>
      <x:c r="E38" s="7"/>
      <x:c r="F38" s="7"/>
      <x:c r="G38" s="21"/>
      <x:c r="H38" s="7"/>
    </x:row>
    <x:row r="39" ht="42" customHeight="1">
      <x:c r="A39" s="7" t="str">
        <x:v>Panel frame25.4 + Al7.9375 + MDF19.05 =52.3875 mm. Raw deck top becomes973.1875 mm before skim, using920.8 mm beam top.</x:v>
      </x:c>
      <x:c r="B39" s="7"/>
      <x:c r="C39" s="7"/>
      <x:c r="D39" s="7"/>
      <x:c r="E39" s="7"/>
      <x:c r="F39" s="7"/>
      <x:c r="G39" s="21"/>
      <x:c r="H39" s="7"/>
    </x:row>
    <x:row r="40" ht="42" customHeight="1">
      <x:c r="A40" s="7" t="str">
        <x:v>Rail cap5/16-inch =7.9375 mm,0.0625 below original8 mm. Establish actual rail plane with measured pads/shims.</x:v>
      </x:c>
      <x:c r="B40" s="7"/>
      <x:c r="C40" s="7"/>
      <x:c r="D40" s="7"/>
      <x:c r="E40" s="7"/>
      <x:c r="F40" s="7"/>
      <x:c r="G40" s="21"/>
      <x:c r="H40" s="7"/>
    </x:row>
    <x:row r="41" ht="42" customHeight="1">
      <x:c r="A41" s="7" t="str">
        <x:v>Keep 6 mm beam end plates, or with 1/4-inch plates use1031.3 mm tube blanks to preserve1044 mm overall. Do not mix both dimensions.</x:v>
      </x:c>
      <x:c r="B41" s="7"/>
      <x:c r="C41" s="7"/>
      <x:c r="D41" s="7"/>
      <x:c r="E41" s="7"/>
      <x:c r="F41" s="7"/>
      <x:c r="G41" s="21"/>
      <x:c r="H41" s="7"/>
    </x:row>
    <x:row r="42" ht="42" customHeight="1">
      <x:c r="A42" s="7" t="str">
        <x:v>If pan-bearer end plates become5/16-inch, tube nominal becomes1032.525 mm before fit clearance. Current1032.4 assumes8 mm plates.</x:v>
      </x:c>
      <x:c r="B42" s="7"/>
      <x:c r="C42" s="7"/>
      <x:c r="D42" s="7"/>
      <x:c r="E42" s="7"/>
      <x:c r="F42" s="7"/>
      <x:c r="G42" s="21"/>
      <x:c r="H42" s="7"/>
    </x:row>
    <x:row r="43" ht="42" customHeight="1">
      <x:c r="A43" s="7" t="str">
        <x:v>Do not claim sheet gauge is exactly3 mm. Size slat combs and water clearances from measured stock.</x:v>
      </x:c>
      <x:c r="B43" s="7"/>
      <x:c r="C43" s="7"/>
      <x:c r="D43" s="7"/>
      <x:c r="E43" s="7"/>
      <x:c r="F43" s="7"/>
      <x:c r="G43" s="21"/>
      <x:c r="H43" s="7"/>
    </x:row>
    <x:row r="44" ht="42" customHeight="1">
      <x:c r="A44" s="7" t="str">
        <x:v>Local alternatives: SteelMart Gainesville; Metal Supermarkets Buford; Cherokee Steel Monroe. Freight/cuts/tax must be separate on quotes.</x:v>
      </x:c>
      <x:c r="B44" s="7"/>
      <x:c r="C44" s="7"/>
      <x:c r="D44" s="7"/>
      <x:c r="E44" s="7"/>
      <x:c r="F44" s="7"/>
      <x:c r="G44" s="21"/>
      <x:c r="H44" s="7"/>
    </x:row>
    <x:row r="45" ht="42" customHeight="1">
      <x:c r="A45" s="7"/>
      <x:c r="B45" s="7"/>
      <x:c r="C45" s="7"/>
      <x:c r="D45" s="7"/>
      <x:c r="E45" s="7"/>
      <x:c r="F45" s="7"/>
      <x:c r="G45" s="21"/>
      <x:c r="H45" s="7"/>
    </x:row>
    <x:row r="46" ht="42" customHeight="1">
      <x:c r="A46" s="7"/>
      <x:c r="B46" s="7"/>
      <x:c r="C46" s="7"/>
      <x:c r="D46" s="7"/>
      <x:c r="E46" s="7"/>
      <x:c r="F46" s="7"/>
      <x:c r="G46" s="21"/>
      <x:c r="H46" s="7"/>
    </x:row>
    <x:row r="47" ht="42" customHeight="1">
      <x:c r="A47" s="7" t="str">
        <x:v>Published supplier comparisons — alternatives only, shipping unquoted</x:v>
      </x:c>
      <x:c r="B47" s="7"/>
      <x:c r="C47" s="7"/>
      <x:c r="D47" s="7"/>
      <x:c r="E47" s="7"/>
      <x:c r="F47" s="7"/>
      <x:c r="G47" s="21"/>
      <x:c r="H47" s="7"/>
    </x:row>
    <x:row r="48" ht="42" customHeight="1">
      <x:c r="A48" s="7"/>
      <x:c r="B48" s="7"/>
      <x:c r="C48" s="7"/>
      <x:c r="D48" s="7"/>
      <x:c r="E48" s="7"/>
      <x:c r="F48" s="7"/>
      <x:c r="G48" s="21"/>
      <x:c r="H48" s="7"/>
    </x:row>
    <x:row r="49" ht="42" customHeight="1">
      <x:c r="A49" s="16" t="str">
        <x:v>Supplier</x:v>
      </x:c>
      <x:c r="B49" s="16" t="str">
        <x:v>Stock / purchase description</x:v>
      </x:c>
      <x:c r="C49" s="16" t="str">
        <x:v>Qty</x:v>
      </x:c>
      <x:c r="D49" s="16" t="str">
        <x:v>Unit USD</x:v>
      </x:c>
      <x:c r="E49" s="16" t="str">
        <x:v>Goods USD</x:v>
      </x:c>
      <x:c r="F49" s="16" t="str">
        <x:v>Match</x:v>
      </x:c>
      <x:c r="G49" s="16" t="str">
        <x:v>Delivery / source notes</x:v>
      </x:c>
      <x:c r="H49" s="16" t="str">
        <x:v>Source URL</x:v>
      </x:c>
    </x:row>
    <x:row r="50" ht="72" customHeight="1">
      <x:c r="A50" s="21" t="str">
        <x:v>Looper’s Metal Works</x:v>
      </x:c>
      <x:c r="B50" s="21" t="str">
        <x:v>2 x 2 11-gauge tube, 20 ft</x:v>
      </x:c>
      <x:c r="C50" s="21" t="n">
        <x:v>5</x:v>
      </x:c>
      <x:c r="D50" s="32" t="n">
        <x:v>80.6</x:v>
      </x:c>
      <x:c r="E50" s="32" t="n">
        <x:f>C50*D50</x:f>
        <x:v>403</x:v>
      </x:c>
      <x:c r="F50" s="21" t="str">
        <x:v>confirm actual .120 wall</x:v>
      </x:c>
      <x:c r="G50" s="21" t="str">
        <x:v>Oklahoma stock-price benchmark dated2026-09-17; cuts $3 each; not Georgia delivered price.</x:v>
      </x:c>
      <x:c r="H50" s="30" t="str">
        <x:v>https://www.loopersmetalworks.com/metal-products/</x:v>
      </x:c>
    </x:row>
    <x:row r="51" ht="72" customHeight="1">
      <x:c r="A51" s="21" t="str">
        <x:v>Bobco</x:v>
      </x:c>
      <x:c r="B51" s="21" t="str">
        <x:v>2 x 2 x .120 A500B tube, 20 ft</x:v>
      </x:c>
      <x:c r="C51" s="21" t="n">
        <x:v>5</x:v>
      </x:c>
      <x:c r="D51" s="32" t="n">
        <x:v>97.5</x:v>
      </x:c>
      <x:c r="E51" s="32" t="n">
        <x:f>C51*D51</x:f>
        <x:v>487.5</x:v>
      </x:c>
      <x:c r="F51" s="21" t="str">
        <x:v>exact</x:v>
      </x:c>
      <x:c r="G51" s="21" t="str">
        <x:v>Los Angeles pickup listing; freight to Georgia unknown.</x:v>
      </x:c>
      <x:c r="H51" s="30" t="str">
        <x:v>https://www.bobcometal.com/hot-rolled-steel-square-tube-2-inch-x-0-12.html</x:v>
      </x:c>
    </x:row>
    <x:row r="52" ht="72" customHeight="1">
      <x:c r="A52" s="21" t="str">
        <x:v>Online Metals</x:v>
      </x:c>
      <x:c r="B52" s="21" t="str">
        <x:v>2 x 2 x .120 A500/A513 tube, 20 ft</x:v>
      </x:c>
      <x:c r="C52" s="21" t="n">
        <x:v>5</x:v>
      </x:c>
      <x:c r="D52" s="32" t="n">
        <x:v>202.3</x:v>
      </x:c>
      <x:c r="E52" s="32" t="n">
        <x:f>C52*D52</x:f>
        <x:v>1011.5</x:v>
      </x:c>
      <x:c r="F52" s="21" t="str">
        <x:v>exact</x:v>
      </x:c>
      <x:c r="G52" s="21" t="str">
        <x:v>Confirm actual supplied ASTM grade; processing and freight extra.</x:v>
      </x:c>
      <x:c r="H52" s="30" t="str">
        <x:v>https://www.onlinemetals.com/en/buy/carbon-steel/2-x-0-12-carbon-steel-square-tube-a500-a513-hot-rolled/pid/10343</x:v>
      </x:c>
    </x:row>
    <x:row r="53" ht="72" customHeight="1">
      <x:c r="A53" s="21" t="str">
        <x:v>Online Metals</x:v>
      </x:c>
      <x:c r="B53" s="21" t="str">
        <x:v>2 x 2 x .120 A500/A513 tube, 12 ft</x:v>
      </x:c>
      <x:c r="C53" s="21" t="n">
        <x:v>9</x:v>
      </x:c>
      <x:c r="D53" s="32" t="n">
        <x:v>100.72</x:v>
      </x:c>
      <x:c r="E53" s="32" t="n">
        <x:f>C53*D53</x:f>
        <x:v>906.48</x:v>
      </x:c>
      <x:c r="F53" s="21" t="str">
        <x:v>exact</x:v>
      </x:c>
      <x:c r="G53" s="21" t="str">
        <x:v>Alternative stock nesting, not additional to five20ft bars.</x:v>
      </x:c>
      <x:c r="H53" s="30" t="str">
        <x:v>https://www.onlinemetals.com/en/buy/carbon-steel/2-x-0-12-carbon-steel-square-tube-a500-a513-hot-rolled/pid/10343</x:v>
      </x:c>
    </x:row>
    <x:row r="54" ht="72" customHeight="1">
      <x:c r="A54" s="21" t="str">
        <x:v>Online Metals / A-Z Metals</x:v>
      </x:c>
      <x:c r="B54" s="21" t="str">
        <x:v>1 x 1 x .083 tube, 60 inches</x:v>
      </x:c>
      <x:c r="C54" s="21" t="n">
        <x:v>9</x:v>
      </x:c>
      <x:c r="D54" s="32" t="n">
        <x:v>15.58</x:v>
      </x:c>
      <x:c r="E54" s="32" t="n">
        <x:f>C54*D54</x:f>
        <x:v>140.22</x:v>
      </x:c>
      <x:c r="F54" s="21" t="str">
        <x:v>dimensional substitution</x:v>
      </x:c>
      <x:c r="G54" s="21" t="str">
        <x:v>25.4mm external,2.1082mm wall; changes innercuts to346.2mm and stack+.4mm. Page says2business-day ship lead fromMesaAZ; arrival unknown.</x:v>
      </x:c>
      <x:c r="H54" s="30" t="str">
        <x:v>https://www.onlinemetals.com/en/buy/carbon-steel/1-inch-x-083-inch-carbon-steel-square-tube-a500-a513/pid/mp-00064364</x:v>
      </x:c>
    </x:row>
    <x:row r="55" ht="72" customHeight="1">
      <x:c r="A55" s="21" t="str">
        <x:v>Steel Supply LP</x:v>
      </x:c>
      <x:c r="B55" s="21" t="str">
        <x:v>1.25 x 1.25 x .125 angle, 20 ft</x:v>
      </x:c>
      <x:c r="C55" s="21" t="n">
        <x:v>1</x:v>
      </x:c>
      <x:c r="D55" s="32" t="n">
        <x:v>24.19</x:v>
      </x:c>
      <x:c r="E55" s="32" t="n">
        <x:f>C55*D55</x:f>
        <x:v>24.19</x:v>
      </x:c>
      <x:c r="F55" s="21" t="str">
        <x:v>dimensional substitution</x:v>
      </x:c>
      <x:c r="G55" s="21" t="str">
        <x:v>31.75 x31.75 x3.175 differs from30 x30 x3. Freight shipment; page stock messaging ambiguous.</x:v>
      </x:c>
      <x:c r="H55" s="30" t="str">
        <x:v>https://www.steelsupplylp.com/sku/100002</x:v>
      </x:c>
    </x:row>
    <x:row r="56" ht="72" customHeight="1">
      <x:c r="A56" s="21" t="str">
        <x:v>Looper’s Metal Works</x:v>
      </x:c>
      <x:c r="B56" s="21" t="str">
        <x:v>11-gauge 4 x 8 ft raw steel sheet</x:v>
      </x:c>
      <x:c r="C56" s="21" t="n">
        <x:v>2</x:v>
      </x:c>
      <x:c r="D56" s="32" t="n">
        <x:v>173.6</x:v>
      </x:c>
      <x:c r="E56" s="32" t="n">
        <x:f>C56*D56</x:f>
        <x:v>347.2</x:v>
      </x:c>
      <x:c r="F56" s="21" t="str">
        <x:v>dimensional substitution</x:v>
      </x:c>
      <x:c r="G56" s="21" t="str">
        <x:v>Oklahoma benchmark; confirm wall for3mm design. Separate pan/slat nesting. Shearing, bending, welding, fittings and leak test extra.</x:v>
      </x:c>
      <x:c r="H56" s="30" t="str">
        <x:v>https://www.loopersmetalworks.com/metal-products/</x:v>
      </x:c>
    </x:row>
    <x:row r="57" ht="72" customHeight="1">
      <x:c r="A57" s="21" t="str">
        <x:v>Online Metals</x:v>
      </x:c>
      <x:c r="B57" s="21" t="str">
        <x:v>3 x 1/8 inch flat bar, 72 inches</x:v>
      </x:c>
      <x:c r="C57" s="21" t="n">
        <x:v>10</x:v>
      </x:c>
      <x:c r="D57" s="32" t="n">
        <x:v>18.14</x:v>
      </x:c>
      <x:c r="E57" s="32" t="n">
        <x:f>C57*D57</x:f>
        <x:v>181.4</x:v>
      </x:c>
      <x:c r="F57" s="21" t="str">
        <x:v>dimensional substitution</x:v>
      </x:c>
      <x:c r="G57" s="21" t="str">
        <x:v>Yields20 x880mm slats including one spare;76.2mm high x3.175 thick requires dimensional adjustment. Alternative to sheet-cut slats.</x:v>
      </x:c>
      <x:c r="H57" s="30" t="str">
        <x:v>https://www.onlinemetals.com/en/buy/carbon-steel/0-125-x-3-carbon-steel-rectangle-bar-commercial-quality-hot-rolled/pid/10007</x:v>
      </x:c>
    </x:row>
    <x:row r="58" ht="72" customHeight="1">
      <x:c r="A58" s="21" t="str">
        <x:v>Online Metals</x:v>
      </x:c>
      <x:c r="B58" s="21" t="str">
        <x:v>8mm5754 plate, 24 x36 inches</x:v>
      </x:c>
      <x:c r="C58" s="21" t="n">
        <x:v>3</x:v>
      </x:c>
      <x:c r="D58" s="32" t="n">
        <x:v>902.42</x:v>
      </x:c>
      <x:c r="E58" s="32" t="n">
        <x:f>C58*D58</x:f>
        <x:v>2707.2599999999998</x:v>
      </x:c>
      <x:c r="F58" s="21" t="str">
        <x:v>exact thickness; alloy and flatness pending</x:v>
      </x:c>
      <x:c r="G58" s="21" t="str">
        <x:v>Three blanks yield two panels each. Public high-cost comparison; obtain local finished-blank quote first.</x:v>
      </x:c>
      <x:c r="H58" s="30" t="str">
        <x:v>https://www.onlinemetals.com/en/buy/aluminum/8mm-aluminum-plate-grade-5754/pid/29508</x:v>
      </x:c>
    </x:row>
    <x:row r="59" ht="72" customHeight="1">
      <x:c r="A59" s="21" t="str">
        <x:v>Online Metals</x:v>
      </x:c>
      <x:c r="B59" s="21" t="str">
        <x:v>5/16-inch6061-T651 plate, 48 x48 inches</x:v>
      </x:c>
      <x:c r="C59" s="21" t="n">
        <x:v>1</x:v>
      </x:c>
      <x:c r="D59" s="32" t="n">
        <x:v>759.54</x:v>
      </x:c>
      <x:c r="E59" s="32" t="n">
        <x:f>C59*D59</x:f>
        <x:v>759.54</x:v>
      </x:c>
      <x:c r="F59" s="21" t="str">
        <x:v>dimensional substitution</x:v>
      </x:c>
      <x:c r="G59" s="21" t="str">
        <x:v>7.9375mm vs8mm; six panels nest2 x3. Latest directly readable759.54 supersedes indexed915.25. Cutting and datum finishing extra.</x:v>
      </x:c>
      <x:c r="H59" s="30" t="str">
        <x:v>https://www.onlinemetals.com/en/buy/aluminum/0-3125-aluminum-plate-6061-t651/pid/14480</x:v>
      </x:c>
    </x:row>
    <x:row r="60" ht="72" customHeight="1">
      <x:c r="A60" s="21" t="str">
        <x:v>80/20</x:v>
      </x:c>
      <x:c r="B60" s="21" t="str">
        <x:v>40-8080 standard extrusion, cut1200mm</x:v>
      </x:c>
      <x:c r="C60" s="21" t="n">
        <x:v>1</x:v>
      </x:c>
      <x:c r="D60" s="32" t="n">
        <x:v>151.73</x:v>
      </x:c>
      <x:c r="E60" s="32" t="n">
        <x:f>C60*D60</x:f>
        <x:v>151.73</x:v>
      </x:c>
      <x:c r="F60" s="21" t="str">
        <x:v>exact</x:v>
      </x:c>
      <x:c r="G60" s="21" t="str">
        <x:v>Calculated from0.1231USD/mm plus4.01cut.6063-T6,Ix=Iy171.6341cm4,about7.64kg for1200mm. Shipping,taps/machining extra.</x:v>
      </x:c>
      <x:c r="H60" s="30" t="str">
        <x:v>https://8020.net/40-8080.html</x:v>
      </x:c>
    </x:row>
    <x:row r="61" ht="72" customHeight="1">
      <x:c r="A61" s="21" t="str">
        <x:v>BCI Imaging Supplies</x:v>
      </x:c>
      <x:c r="B61" s="21" t="str">
        <x:v>.080-inch5052-H32, 48 x96 inches</x:v>
      </x:c>
      <x:c r="C61" s="21" t="n">
        <x:v>1</x:v>
      </x:c>
      <x:c r="D61" s="32" t="n">
        <x:v>510</x:v>
      </x:c>
      <x:c r="E61" s="32" t="n">
        <x:f>C61*D61</x:f>
        <x:v>510</x:v>
      </x:c>
      <x:c r="F61" s="21" t="str">
        <x:v>2.032mm near-size stock</x:v>
      </x:c>
      <x:c r="G61" s="21" t="str">
        <x:v>For external faces only pending final unfolded shapes. Supplier says oversized shipping requires quote; not free delivery.</x:v>
      </x:c>
      <x:c r="H61" s="30" t="str">
        <x:v>https://bciimage.com/product/aluminium-sheet-080-5052-h32-0-08-x-48-x-96/</x:v>
      </x:c>
    </x:row>
    <x:row r="62" ht="72" customHeight="1">
      <x:c r="A62" s="21" t="str">
        <x:v>Looper’s Metal Works</x:v>
      </x:c>
      <x:c r="B62" s="21" t="str">
        <x:v>.080-inch5052, 4 x10 ft sheet</x:v>
      </x:c>
      <x:c r="C62" s="21" t="n">
        <x:v>1</x:v>
      </x:c>
      <x:c r="D62" s="32" t="n">
        <x:v>254.64</x:v>
      </x:c>
      <x:c r="E62" s="32" t="n">
        <x:f>C62*D62</x:f>
        <x:v>254.64</x:v>
      </x:c>
      <x:c r="F62" s="21" t="str">
        <x:v>2.032mm near-size stock</x:v>
      </x:c>
      <x:c r="G62" s="21" t="str">
        <x:v>Oklahoma raw material benchmark; fabrication and freight extra; availability to confirm.</x:v>
      </x:c>
      <x:c r="H62" s="30" t="str">
        <x:v>https://www.loopersmetalworks.com/metal-products/</x:v>
      </x:c>
    </x:row>
  </x:sheetData>
  <x:pageMargins left="0.7" right="0.7" top="0.75" bottom="0.75" header="0.3" footer="0.3"/>
</x:worksheet>
</file>